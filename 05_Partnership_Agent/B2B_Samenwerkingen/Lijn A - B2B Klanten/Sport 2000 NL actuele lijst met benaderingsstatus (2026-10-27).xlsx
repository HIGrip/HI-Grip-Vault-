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-lijst" sheetId="1" state="visible" r:id="rId1"/>
    <sheet xmlns:r="http://schemas.openxmlformats.org/officeDocument/2006/relationships" name="Overzicht &amp; stappen" sheetId="2" state="visible" r:id="rId2"/>
    <sheet xmlns:r="http://schemas.openxmlformats.org/officeDocument/2006/relationships" name="Uitgesloten (bestaat niet)" sheetId="3" state="visible" r:id="rId3"/>
    <sheet xmlns:r="http://schemas.openxmlformats.org/officeDocument/2006/relationships" name="Toelichting" sheetId="4" state="visible" r:id="rId4"/>
  </sheets>
  <definedNames>
    <definedName name="_xlnm.Print_Titles" localSheetId="0">'Call-lijst'!$5:$5</definedName>
    <definedName name="_xlnm._FilterDatabase" localSheetId="2" hidden="1">'Uitgesloten (bestaat niet)'!$A$3:$F$41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23">
    <font>
      <name val="Calibri"/>
      <family val="2"/>
      <color theme="1"/>
      <sz val="11"/>
      <scheme val="minor"/>
    </font>
    <font>
      <name val="Poppins"/>
      <b val="1"/>
      <color rgb="000A0A0A"/>
      <sz val="18"/>
    </font>
    <font>
      <name val="Arial"/>
      <color rgb="005C5D5F"/>
      <sz val="10"/>
    </font>
    <font>
      <name val="Poppins"/>
      <b val="1"/>
      <color rgb="00FFFFFF"/>
      <sz val="8"/>
    </font>
    <font>
      <name val="Arial"/>
      <color rgb="005C5D5F"/>
      <sz val="8"/>
    </font>
    <font>
      <name val="Poppins"/>
      <b val="1"/>
      <color rgb="000A0A0A"/>
      <sz val="8"/>
    </font>
    <font>
      <name val="Poppins"/>
      <b val="1"/>
      <color rgb="00FFFFFF"/>
      <sz val="10"/>
    </font>
    <font>
      <name val="Arial"/>
      <sz val="10"/>
    </font>
    <font>
      <name val="Poppins"/>
      <b val="1"/>
      <sz val="9"/>
    </font>
    <font>
      <name val="Arial"/>
      <b val="1"/>
      <sz val="10"/>
    </font>
    <font>
      <name val="Arial"/>
      <color rgb="000011A7"/>
      <sz val="10"/>
      <u val="single"/>
    </font>
    <font>
      <name val="Poppins"/>
      <b val="1"/>
      <sz val="18"/>
    </font>
    <font>
      <name val="Poppins"/>
      <b val="1"/>
      <color rgb="005C5D5F"/>
      <sz val="10"/>
    </font>
    <font>
      <name val="Poppins"/>
      <b val="1"/>
      <color rgb="00FFFFFF"/>
      <sz val="26"/>
    </font>
    <font>
      <name val="Poppins"/>
      <b val="1"/>
      <color rgb="000A0A0A"/>
      <sz val="10"/>
    </font>
    <font>
      <name val="Poppins"/>
      <b val="1"/>
      <color rgb="000A0A0A"/>
      <sz val="26"/>
    </font>
    <font>
      <name val="Arial"/>
      <b val="1"/>
    </font>
    <font>
      <name val="Arial"/>
    </font>
    <font>
      <name val="Poppins"/>
      <b val="1"/>
      <color rgb="00FFFFFF"/>
      <sz val="9"/>
    </font>
    <font>
      <name val="Arial"/>
      <sz val="9"/>
    </font>
    <font>
      <name val="Poppins"/>
      <b val="1"/>
      <color rgb="000A0A0A"/>
      <sz val="9"/>
    </font>
    <font>
      <name val="Poppins"/>
      <b val="1"/>
      <sz val="14"/>
    </font>
    <font>
      <name val="Poppins"/>
      <b val="1"/>
      <sz val="10"/>
    </font>
  </fonts>
  <fills count="19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2D050"/>
      </patternFill>
    </fill>
    <fill>
      <patternFill patternType="solid">
        <fgColor rgb="00FF9900"/>
      </patternFill>
    </fill>
    <fill>
      <patternFill patternType="solid">
        <fgColor rgb="002B2B2B"/>
      </patternFill>
    </fill>
    <fill>
      <patternFill patternType="solid">
        <fgColor rgb="00FFFF00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0A0A0A"/>
      </patternFill>
    </fill>
    <fill>
      <patternFill patternType="solid">
        <fgColor rgb="00EBDDF5"/>
      </patternFill>
    </fill>
    <fill>
      <patternFill patternType="solid">
        <fgColor rgb="00DCF3FC"/>
      </patternFill>
    </fill>
    <fill>
      <patternFill patternType="solid">
        <fgColor rgb="00EDF8DF"/>
      </patternFill>
    </fill>
    <fill>
      <patternFill patternType="solid">
        <fgColor rgb="00FFEFD6"/>
      </patternFill>
    </fill>
    <fill>
      <patternFill patternType="solid">
        <fgColor rgb="00FFFFFF"/>
      </patternFill>
    </fill>
    <fill>
      <patternFill patternType="solid">
        <fgColor rgb="00FFFCD1"/>
      </patternFill>
    </fill>
    <fill>
      <patternFill patternType="solid">
        <fgColor rgb="00D6F1E1"/>
      </patternFill>
    </fill>
    <fill>
      <patternFill patternType="solid">
        <fgColor rgb="00FBDCDA"/>
      </patternFill>
    </fill>
  </fills>
  <borders count="9">
    <border>
      <left/>
      <right/>
      <top/>
      <bottom/>
      <diagonal/>
    </border>
    <border>
      <left style="thick">
        <color rgb="00FFFFFF"/>
      </left>
      <right style="thick">
        <color rgb="00FFFFFF"/>
      </right>
    </border>
    <border>
      <bottom style="thin">
        <color rgb="00E3E3E3"/>
      </bottom>
    </border>
    <border>
      <left style="thick">
        <color rgb="00FFFFFF"/>
      </left>
      <top style="thick">
        <color rgb="00FFFFFF"/>
      </top>
    </border>
    <border>
      <right style="thick">
        <color rgb="00FFFFFF"/>
      </right>
      <top style="thick">
        <color rgb="00FFFFFF"/>
      </top>
    </border>
    <border>
      <left style="thick">
        <color rgb="00FFFFFF"/>
      </left>
    </border>
    <border>
      <right style="thick">
        <color rgb="00FFFFFF"/>
      </right>
    </border>
    <border>
      <left style="thick">
        <color rgb="00FFFFFF"/>
      </left>
      <bottom style="thick">
        <color rgb="00FFFFFF"/>
      </bottom>
    </border>
    <border>
      <right style="thick">
        <color rgb="00FFFFFF"/>
      </right>
      <bottom style="thick">
        <color rgb="00FFFFFF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shrinkToFit="1"/>
    </xf>
    <xf numFmtId="0" fontId="5" fillId="3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 shrinkToFit="1"/>
    </xf>
    <xf numFmtId="0" fontId="5" fillId="5" borderId="1" applyAlignment="1" pivotButton="0" quotePrefix="0" xfId="0">
      <alignment horizontal="center" vertical="center" shrinkToFit="1"/>
    </xf>
    <xf numFmtId="0" fontId="3" fillId="6" borderId="1" applyAlignment="1" pivotButton="0" quotePrefix="0" xfId="0">
      <alignment horizontal="center" vertical="center" shrinkToFit="1"/>
    </xf>
    <xf numFmtId="0" fontId="5" fillId="7" borderId="1" applyAlignment="1" pivotButton="0" quotePrefix="0" xfId="0">
      <alignment horizontal="center" vertical="center" shrinkToFit="1"/>
    </xf>
    <xf numFmtId="0" fontId="3" fillId="8" borderId="1" applyAlignment="1" pivotButton="0" quotePrefix="0" xfId="0">
      <alignment horizontal="center" vertical="center" shrinkToFit="1"/>
    </xf>
    <xf numFmtId="0" fontId="3" fillId="9" borderId="1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 shrinkToFit="1"/>
    </xf>
    <xf numFmtId="0" fontId="6" fillId="10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6" fillId="2" borderId="3" applyAlignment="1" pivotButton="0" quotePrefix="0" xfId="0">
      <alignment horizontal="left" vertical="center" indent="1"/>
    </xf>
    <xf numFmtId="0" fontId="0" fillId="2" borderId="4" pivotButton="0" quotePrefix="0" xfId="0"/>
    <xf numFmtId="0" fontId="14" fillId="3" borderId="3" applyAlignment="1" pivotButton="0" quotePrefix="0" xfId="0">
      <alignment horizontal="left" vertical="center" indent="1"/>
    </xf>
    <xf numFmtId="0" fontId="0" fillId="3" borderId="4" pivotButton="0" quotePrefix="0" xfId="0"/>
    <xf numFmtId="0" fontId="14" fillId="4" borderId="3" applyAlignment="1" pivotButton="0" quotePrefix="0" xfId="0">
      <alignment horizontal="left" vertical="center" indent="1"/>
    </xf>
    <xf numFmtId="0" fontId="0" fillId="4" borderId="4" pivotButton="0" quotePrefix="0" xfId="0"/>
    <xf numFmtId="0" fontId="14" fillId="5" borderId="3" applyAlignment="1" pivotButton="0" quotePrefix="0" xfId="0">
      <alignment horizontal="left" vertical="center" indent="1"/>
    </xf>
    <xf numFmtId="0" fontId="0" fillId="5" borderId="4" pivotButton="0" quotePrefix="0" xfId="0"/>
    <xf numFmtId="0" fontId="13" fillId="2" borderId="5" applyAlignment="1" pivotButton="0" quotePrefix="0" xfId="0">
      <alignment horizontal="left" vertical="center" indent="1"/>
    </xf>
    <xf numFmtId="0" fontId="0" fillId="2" borderId="6" pivotButton="0" quotePrefix="0" xfId="0"/>
    <xf numFmtId="0" fontId="15" fillId="3" borderId="5" applyAlignment="1" pivotButton="0" quotePrefix="0" xfId="0">
      <alignment horizontal="left" vertical="center" indent="1"/>
    </xf>
    <xf numFmtId="0" fontId="0" fillId="3" borderId="6" pivotButton="0" quotePrefix="0" xfId="0"/>
    <xf numFmtId="0" fontId="15" fillId="4" borderId="5" applyAlignment="1" pivotButton="0" quotePrefix="0" xfId="0">
      <alignment horizontal="left" vertical="center" indent="1"/>
    </xf>
    <xf numFmtId="0" fontId="0" fillId="4" borderId="6" pivotButton="0" quotePrefix="0" xfId="0"/>
    <xf numFmtId="0" fontId="15" fillId="5" borderId="5" applyAlignment="1" pivotButton="0" quotePrefix="0" xfId="0">
      <alignment horizontal="left" vertical="center" indent="1"/>
    </xf>
    <xf numFmtId="0" fontId="0" fillId="5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7" pivotButton="0" quotePrefix="0" xfId="0"/>
    <xf numFmtId="0" fontId="0" fillId="5" borderId="8" pivotButton="0" quotePrefix="0" xfId="0"/>
    <xf numFmtId="0" fontId="6" fillId="6" borderId="3" applyAlignment="1" pivotButton="0" quotePrefix="0" xfId="0">
      <alignment horizontal="left" vertical="center" indent="1"/>
    </xf>
    <xf numFmtId="0" fontId="0" fillId="6" borderId="4" pivotButton="0" quotePrefix="0" xfId="0"/>
    <xf numFmtId="0" fontId="14" fillId="7" borderId="3" applyAlignment="1" pivotButton="0" quotePrefix="0" xfId="0">
      <alignment horizontal="left" vertical="center" indent="1"/>
    </xf>
    <xf numFmtId="0" fontId="0" fillId="7" borderId="4" pivotButton="0" quotePrefix="0" xfId="0"/>
    <xf numFmtId="0" fontId="6" fillId="8" borderId="3" applyAlignment="1" pivotButton="0" quotePrefix="0" xfId="0">
      <alignment horizontal="left" vertical="center" indent="1"/>
    </xf>
    <xf numFmtId="0" fontId="0" fillId="8" borderId="4" pivotButton="0" quotePrefix="0" xfId="0"/>
    <xf numFmtId="0" fontId="6" fillId="9" borderId="3" applyAlignment="1" pivotButton="0" quotePrefix="0" xfId="0">
      <alignment horizontal="left" vertical="center" indent="1"/>
    </xf>
    <xf numFmtId="0" fontId="0" fillId="9" borderId="4" pivotButton="0" quotePrefix="0" xfId="0"/>
    <xf numFmtId="0" fontId="13" fillId="6" borderId="5" applyAlignment="1" pivotButton="0" quotePrefix="0" xfId="0">
      <alignment horizontal="left" vertical="center" indent="1"/>
    </xf>
    <xf numFmtId="0" fontId="0" fillId="6" borderId="6" pivotButton="0" quotePrefix="0" xfId="0"/>
    <xf numFmtId="0" fontId="15" fillId="7" borderId="5" applyAlignment="1" pivotButton="0" quotePrefix="0" xfId="0">
      <alignment horizontal="left" vertical="center" indent="1"/>
    </xf>
    <xf numFmtId="0" fontId="0" fillId="7" borderId="6" pivotButton="0" quotePrefix="0" xfId="0"/>
    <xf numFmtId="0" fontId="13" fillId="8" borderId="5" applyAlignment="1" pivotButton="0" quotePrefix="0" xfId="0">
      <alignment horizontal="left" vertical="center" indent="1"/>
    </xf>
    <xf numFmtId="0" fontId="0" fillId="8" borderId="6" pivotButton="0" quotePrefix="0" xfId="0"/>
    <xf numFmtId="0" fontId="13" fillId="9" borderId="5" applyAlignment="1" pivotButton="0" quotePrefix="0" xfId="0">
      <alignment horizontal="left" vertical="center" indent="1"/>
    </xf>
    <xf numFmtId="0" fontId="0" fillId="9" borderId="6" pivotButton="0" quotePrefix="0" xfId="0"/>
    <xf numFmtId="0" fontId="0" fillId="6" borderId="7" pivotButton="0" quotePrefix="0" xfId="0"/>
    <xf numFmtId="0" fontId="0" fillId="6" borderId="8" pivotButton="0" quotePrefix="0" xfId="0"/>
    <xf numFmtId="0" fontId="0" fillId="7" borderId="7" pivotButton="0" quotePrefix="0" xfId="0"/>
    <xf numFmtId="0" fontId="0" fillId="7" borderId="8" pivotButton="0" quotePrefix="0" xfId="0"/>
    <xf numFmtId="0" fontId="0" fillId="8" borderId="7" pivotButton="0" quotePrefix="0" xfId="0"/>
    <xf numFmtId="0" fontId="0" fillId="8" borderId="8" pivotButton="0" quotePrefix="0" xfId="0"/>
    <xf numFmtId="0" fontId="0" fillId="9" borderId="7" pivotButton="0" quotePrefix="0" xfId="0"/>
    <xf numFmtId="0" fontId="0" fillId="9" borderId="8" pivotButton="0" quotePrefix="0" xfId="0"/>
    <xf numFmtId="0" fontId="3" fillId="10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 wrapText="1"/>
    </xf>
    <xf numFmtId="0" fontId="16" fillId="0" borderId="2" pivotButton="0" quotePrefix="0" xfId="0"/>
    <xf numFmtId="0" fontId="17" fillId="0" borderId="2" applyAlignment="1" pivotButton="0" quotePrefix="0" xfId="0">
      <alignment horizontal="center"/>
    </xf>
    <xf numFmtId="0" fontId="3" fillId="10" borderId="0" pivotButton="0" quotePrefix="0" xfId="0"/>
    <xf numFmtId="0" fontId="18" fillId="6" borderId="2" pivotButton="0" quotePrefix="0" xfId="0"/>
    <xf numFmtId="0" fontId="17" fillId="0" borderId="2" applyAlignment="1" pivotButton="0" quotePrefix="0" xfId="0">
      <alignment vertical="center" wrapText="1"/>
    </xf>
    <xf numFmtId="0" fontId="0" fillId="0" borderId="2" pivotButton="0" quotePrefix="0" xfId="0"/>
    <xf numFmtId="0" fontId="19" fillId="0" borderId="2" applyAlignment="1" pivotButton="0" quotePrefix="0" xfId="0">
      <alignment vertical="center" wrapText="1"/>
    </xf>
    <xf numFmtId="0" fontId="8" fillId="0" borderId="2" pivotButton="0" quotePrefix="0" xfId="0"/>
    <xf numFmtId="0" fontId="18" fillId="8" borderId="2" pivotButton="0" quotePrefix="0" xfId="0"/>
    <xf numFmtId="0" fontId="20" fillId="7" borderId="2" pivotButton="0" quotePrefix="0" xfId="0"/>
    <xf numFmtId="0" fontId="18" fillId="9" borderId="2" pivotButton="0" quotePrefix="0" xfId="0"/>
    <xf numFmtId="0" fontId="18" fillId="2" borderId="0" applyAlignment="1" pivotButton="0" quotePrefix="0" xfId="0">
      <alignment horizontal="left" vertical="center" indent="1"/>
    </xf>
    <xf numFmtId="0" fontId="7" fillId="11" borderId="0" applyAlignment="1" pivotButton="0" quotePrefix="0" xfId="0">
      <alignment horizontal="left" vertical="center" indent="1"/>
    </xf>
    <xf numFmtId="0" fontId="20" fillId="3" borderId="0" applyAlignment="1" pivotButton="0" quotePrefix="0" xfId="0">
      <alignment horizontal="left" vertical="center" indent="1"/>
    </xf>
    <xf numFmtId="0" fontId="7" fillId="12" borderId="0" applyAlignment="1" pivotButton="0" quotePrefix="0" xfId="0">
      <alignment horizontal="left" vertical="center" indent="1"/>
    </xf>
    <xf numFmtId="0" fontId="20" fillId="4" borderId="0" applyAlignment="1" pivotButton="0" quotePrefix="0" xfId="0">
      <alignment horizontal="left" vertical="center" indent="1"/>
    </xf>
    <xf numFmtId="0" fontId="7" fillId="13" borderId="0" applyAlignment="1" pivotButton="0" quotePrefix="0" xfId="0">
      <alignment horizontal="left" vertical="center" indent="1"/>
    </xf>
    <xf numFmtId="0" fontId="20" fillId="5" borderId="0" applyAlignment="1" pivotButton="0" quotePrefix="0" xfId="0">
      <alignment horizontal="left" vertical="center" indent="1"/>
    </xf>
    <xf numFmtId="0" fontId="7" fillId="14" borderId="0" applyAlignment="1" pivotButton="0" quotePrefix="0" xfId="0">
      <alignment horizontal="left" vertical="center" indent="1"/>
    </xf>
    <xf numFmtId="0" fontId="18" fillId="6" borderId="0" applyAlignment="1" pivotButton="0" quotePrefix="0" xfId="0">
      <alignment horizontal="left" vertical="center" indent="1"/>
    </xf>
    <xf numFmtId="0" fontId="7" fillId="15" borderId="0" applyAlignment="1" pivotButton="0" quotePrefix="0" xfId="0">
      <alignment horizontal="left" vertical="center" indent="1"/>
    </xf>
    <xf numFmtId="0" fontId="20" fillId="7" borderId="0" applyAlignment="1" pivotButton="0" quotePrefix="0" xfId="0">
      <alignment horizontal="left" vertical="center" indent="1"/>
    </xf>
    <xf numFmtId="0" fontId="7" fillId="16" borderId="0" applyAlignment="1" pivotButton="0" quotePrefix="0" xfId="0">
      <alignment horizontal="left" vertical="center" indent="1"/>
    </xf>
    <xf numFmtId="0" fontId="18" fillId="8" borderId="0" applyAlignment="1" pivotButton="0" quotePrefix="0" xfId="0">
      <alignment horizontal="left" vertical="center" indent="1"/>
    </xf>
    <xf numFmtId="0" fontId="7" fillId="17" borderId="0" applyAlignment="1" pivotButton="0" quotePrefix="0" xfId="0">
      <alignment horizontal="left" vertical="center" indent="1"/>
    </xf>
    <xf numFmtId="0" fontId="18" fillId="9" borderId="0" applyAlignment="1" pivotButton="0" quotePrefix="0" xfId="0">
      <alignment horizontal="left" vertical="center" indent="1"/>
    </xf>
    <xf numFmtId="0" fontId="7" fillId="18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6" fillId="10" borderId="0" pivotButton="0" quotePrefix="0" xfId="0"/>
    <xf numFmtId="0" fontId="7" fillId="0" borderId="2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18">
    <dxf>
      <font>
        <b val="1"/>
        <color rgb="00FFFFFF"/>
      </font>
      <fill>
        <patternFill patternType="solid">
          <fgColor rgb="007030A0"/>
          <bgColor rgb="007030A0"/>
        </patternFill>
      </fill>
    </dxf>
    <dxf>
      <font>
        <b val="1"/>
        <color rgb="000A0A0A"/>
      </font>
      <fill>
        <patternFill patternType="solid">
          <fgColor rgb="0000B0F0"/>
          <bgColor rgb="0000B0F0"/>
        </patternFill>
      </fill>
    </dxf>
    <dxf>
      <font>
        <b val="1"/>
        <color rgb="000A0A0A"/>
      </font>
      <fill>
        <patternFill patternType="solid">
          <fgColor rgb="0092D050"/>
          <bgColor rgb="0092D050"/>
        </patternFill>
      </fill>
    </dxf>
    <dxf>
      <font>
        <b val="1"/>
        <color rgb="000A0A0A"/>
      </font>
      <fill>
        <patternFill patternType="solid">
          <fgColor rgb="00FF9900"/>
          <bgColor rgb="00FF9900"/>
        </patternFill>
      </fill>
    </dxf>
    <dxf>
      <font>
        <b val="1"/>
        <color rgb="00FFFFFF"/>
      </font>
      <fill>
        <patternFill patternType="solid">
          <fgColor rgb="002B2B2B"/>
          <bgColor rgb="002B2B2B"/>
        </patternFill>
      </fill>
    </dxf>
    <dxf>
      <font>
        <b val="1"/>
        <color rgb="000A0A0A"/>
      </font>
      <fill>
        <patternFill patternType="solid">
          <fgColor rgb="00FFFF00"/>
          <bgColor rgb="00FFFF00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EBDDF5"/>
          <bgColor rgb="00EBDDF5"/>
        </patternFill>
      </fill>
    </dxf>
    <dxf>
      <fill>
        <patternFill patternType="solid">
          <fgColor rgb="00DCF3FC"/>
          <bgColor rgb="00DCF3FC"/>
        </patternFill>
      </fill>
    </dxf>
    <dxf>
      <fill>
        <patternFill patternType="solid">
          <fgColor rgb="00EDF8DF"/>
          <bgColor rgb="00EDF8DF"/>
        </patternFill>
      </fill>
    </dxf>
    <dxf>
      <fill>
        <patternFill patternType="solid">
          <fgColor rgb="00FFEFD6"/>
          <bgColor rgb="00FFEFD6"/>
        </patternFill>
      </fill>
    </dxf>
    <dxf>
      <fill>
        <patternFill patternType="solid">
          <fgColor rgb="00FFFCD1"/>
          <bgColor rgb="00FFFCD1"/>
        </patternFill>
      </fill>
    </dxf>
    <dxf>
      <fill>
        <patternFill patternType="solid">
          <fgColor rgb="00D6F1E1"/>
          <bgColor rgb="00D6F1E1"/>
        </patternFill>
      </fill>
    </dxf>
    <dxf>
      <fill>
        <patternFill patternType="solid">
          <fgColor rgb="00FBDCDA"/>
          <bgColor rgb="00FBDCDA"/>
        </patternFill>
      </fill>
    </dxf>
    <dxf>
      <font>
        <b val="1"/>
        <color rgb="00E10600"/>
      </font>
    </dxf>
    <dxf>
      <font>
        <b val="1"/>
        <color rgb="00FF6A00"/>
      </font>
    </dxf>
    <dxf>
      <font>
        <b val="1"/>
        <color rgb="0090919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port2000Call" displayName="Sport2000Call" ref="A5:U54" headerRowCount="1">
  <autoFilter ref="A5:U54"/>
  <tableColumns count="21">
    <tableColumn id="1" name="#"/>
    <tableColumn id="2" name="Volgende actie"/>
    <tableColumn id="3" name="Naam"/>
    <tableColumn id="4" name="Plaats"/>
    <tableColumn id="5" name="Regio"/>
    <tableColumn id="6" name="Status"/>
    <tableColumn id="7" name="Wanneer"/>
    <tableColumn id="8" name="Wat nu"/>
    <tableColumn id="9" name="Contactpersoon"/>
    <tableColumn id="10" name="Telefoon"/>
    <tableColumn id="11" name="E-mail"/>
    <tableColumn id="12" name="Laatste contact"/>
    <tableColumn id="13" name="Dagen geleden"/>
    <tableColumn id="14" name="Wat is er gedaan"/>
    <tableColumn id="15" name="Producten / specialisatie"/>
    <tableColumn id="16" name="Adres"/>
    <tableColumn id="17" name="Provincie"/>
    <tableColumn id="18" name="Formule"/>
    <tableColumn id="19" name="Opmerking"/>
    <tableColumn id="20" name="Volledige historie"/>
    <tableColumn id="21" name="Winkelpagin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sport2000heerhugowaard.nl" TargetMode="External" Id="rId1"/><Relationship Type="http://schemas.openxmlformats.org/officeDocument/2006/relationships/hyperlink" Target="https://www.sport2000.nl/nl/vind-een-winkel/details/sport-2000-heerhugowaard/" TargetMode="External" Id="rId2"/><Relationship Type="http://schemas.openxmlformats.org/officeDocument/2006/relationships/hyperlink" Target="mailto:info@sportshopbouwes.nl" TargetMode="External" Id="rId3"/><Relationship Type="http://schemas.openxmlformats.org/officeDocument/2006/relationships/hyperlink" Target="https://www.sport2000.nl/nl/vind-een-winkel/details/sport-2000-sportshop-bouwes-schagen/" TargetMode="External" Id="rId4"/><Relationship Type="http://schemas.openxmlformats.org/officeDocument/2006/relationships/hyperlink" Target="mailto:info@sport2000parkstad.nl" TargetMode="External" Id="rId5"/><Relationship Type="http://schemas.openxmlformats.org/officeDocument/2006/relationships/hyperlink" Target="https://www.sport2000.nl/nl/vind-een-winkel/details/sport-2000-parkstad-kerkrade/" TargetMode="External" Id="rId6"/><Relationship Type="http://schemas.openxmlformats.org/officeDocument/2006/relationships/hyperlink" Target="mailto:sporthuismossel@home.nl" TargetMode="External" Id="rId7"/><Relationship Type="http://schemas.openxmlformats.org/officeDocument/2006/relationships/hyperlink" Target="https://www.sport2000.nl/nl/vind-een-winkel/details/sport-2000-appingedam/" TargetMode="External" Id="rId8"/><Relationship Type="http://schemas.openxmlformats.org/officeDocument/2006/relationships/hyperlink" Target="mailto:sport@free-kick.nl" TargetMode="External" Id="rId9"/><Relationship Type="http://schemas.openxmlformats.org/officeDocument/2006/relationships/hyperlink" Target="https://www.sport2000.nl/nl/vind-een-winkel/details/absolute-teamsport-free-kick-den-haag/" TargetMode="External" Id="rId10"/><Relationship Type="http://schemas.openxmlformats.org/officeDocument/2006/relationships/hyperlink" Target="mailto:info@ljsport.nl" TargetMode="External" Id="rId11"/><Relationship Type="http://schemas.openxmlformats.org/officeDocument/2006/relationships/hyperlink" Target="https://www.sport2000.nl/nl/vind-een-winkel/details/sport-2000-lj-sport-lisse/" TargetMode="External" Id="rId12"/><Relationship Type="http://schemas.openxmlformats.org/officeDocument/2006/relationships/hyperlink" Target="mailto:info@sport2000spijkenisse.nl" TargetMode="External" Id="rId13"/><Relationship Type="http://schemas.openxmlformats.org/officeDocument/2006/relationships/hyperlink" Target="https://www.sport2000.nl/nl/vind-een-winkel/details/sport-2000-spijkenisse/" TargetMode="External" Id="rId14"/><Relationship Type="http://schemas.openxmlformats.org/officeDocument/2006/relationships/hyperlink" Target="mailto:info@sport2000voorburg.nl" TargetMode="External" Id="rId15"/><Relationship Type="http://schemas.openxmlformats.org/officeDocument/2006/relationships/hyperlink" Target="https://www.sport2000.nl/nl/vind-een-winkel/details/sport-2000-voorburg/" TargetMode="External" Id="rId16"/><Relationship Type="http://schemas.openxmlformats.org/officeDocument/2006/relationships/hyperlink" Target="mailto:info@akwisport.nl" TargetMode="External" Id="rId17"/><Relationship Type="http://schemas.openxmlformats.org/officeDocument/2006/relationships/hyperlink" Target="https://www.sport2000.nl/nl/vind-een-winkel/details/sport-2000-akwi-sport-eindhoven/" TargetMode="External" Id="rId18"/><Relationship Type="http://schemas.openxmlformats.org/officeDocument/2006/relationships/hyperlink" Target="mailto:info@atsleugemors.nl" TargetMode="External" Id="rId19"/><Relationship Type="http://schemas.openxmlformats.org/officeDocument/2006/relationships/hyperlink" Target="https://www.sport2000.nl/nl/vind-een-winkel/details/absolute-teamsport-leugemors-winterswijk/" TargetMode="External" Id="rId20"/><Relationship Type="http://schemas.openxmlformats.org/officeDocument/2006/relationships/hyperlink" Target="mailto:info@bartlangedijk.nl" TargetMode="External" Id="rId21"/><Relationship Type="http://schemas.openxmlformats.org/officeDocument/2006/relationships/hyperlink" Target="https://www.sport2000.nl/nl/vind-een-winkel/details/sport-2000-bart-langedijk-den-helder/" TargetMode="External" Id="rId22"/><Relationship Type="http://schemas.openxmlformats.org/officeDocument/2006/relationships/hyperlink" Target="mailto:info@absolutetshaarlem.nl" TargetMode="External" Id="rId23"/><Relationship Type="http://schemas.openxmlformats.org/officeDocument/2006/relationships/hyperlink" Target="https://www.sport2000.nl/nl/vind-een-winkel/details/absolute-teamsport-haarlem/" TargetMode="External" Id="rId24"/><Relationship Type="http://schemas.openxmlformats.org/officeDocument/2006/relationships/hyperlink" Target="mailto:info@absolutepurmerend.nl" TargetMode="External" Id="rId25"/><Relationship Type="http://schemas.openxmlformats.org/officeDocument/2006/relationships/hyperlink" Target="https://www.sport2000.nl/nl/vind-een-winkel/details/absolute-teamsport-purmerend/" TargetMode="External" Id="rId26"/><Relationship Type="http://schemas.openxmlformats.org/officeDocument/2006/relationships/hyperlink" Target="mailto:info@sport2000boxmeer.nl" TargetMode="External" Id="rId27"/><Relationship Type="http://schemas.openxmlformats.org/officeDocument/2006/relationships/hyperlink" Target="https://www.sport2000.nl/nl/vind-een-winkel/details/sport-2000-boxmeer/" TargetMode="External" Id="rId28"/><Relationship Type="http://schemas.openxmlformats.org/officeDocument/2006/relationships/hyperlink" Target="mailto:info@combisport.nl" TargetMode="External" Id="rId29"/><Relationship Type="http://schemas.openxmlformats.org/officeDocument/2006/relationships/hyperlink" Target="https://www.sport2000.nl/nl/vind-een-winkel/details/sport-2000-combi-sport-beilen/" TargetMode="External" Id="rId30"/><Relationship Type="http://schemas.openxmlformats.org/officeDocument/2006/relationships/hyperlink" Target="mailto:feersport@planet.nl" TargetMode="External" Id="rId31"/><Relationship Type="http://schemas.openxmlformats.org/officeDocument/2006/relationships/hyperlink" Target="https://www.sport2000.nl/nl/vind-een-winkel/details/sport-2000-sporthuis-ap-van-der-feer/" TargetMode="External" Id="rId32"/><Relationship Type="http://schemas.openxmlformats.org/officeDocument/2006/relationships/hyperlink" Target="mailto:dejongesport@xs4all.nl" TargetMode="External" Id="rId33"/><Relationship Type="http://schemas.openxmlformats.org/officeDocument/2006/relationships/hyperlink" Target="https://www.sport2000.nl/nl/vind-een-winkel/details/sport-2000-de-jonge-sport-stadskanaal/" TargetMode="External" Id="rId34"/><Relationship Type="http://schemas.openxmlformats.org/officeDocument/2006/relationships/hyperlink" Target="mailto:info@sporthuiswinsum.nl" TargetMode="External" Id="rId35"/><Relationship Type="http://schemas.openxmlformats.org/officeDocument/2006/relationships/hyperlink" Target="https://www.sport2000.nl/nl/vind-een-winkel/details/sport-2000-sporthuis-winsum/" TargetMode="External" Id="rId36"/><Relationship Type="http://schemas.openxmlformats.org/officeDocument/2006/relationships/hyperlink" Target="mailto:info@mensinkschoenen.nl" TargetMode="External" Id="rId37"/><Relationship Type="http://schemas.openxmlformats.org/officeDocument/2006/relationships/hyperlink" Target="https://www.sport2000.nl/nl/vind-een-winkel/details/sport-2000-mensink-denekamp/" TargetMode="External" Id="rId38"/><Relationship Type="http://schemas.openxmlformats.org/officeDocument/2006/relationships/hyperlink" Target="mailto:deventer@buitink-sport.nl" TargetMode="External" Id="rId39"/><Relationship Type="http://schemas.openxmlformats.org/officeDocument/2006/relationships/hyperlink" Target="https://www.sport2000.nl/nl/vind-een-winkel/details/sport-2000-buitink-deventer/" TargetMode="External" Id="rId40"/><Relationship Type="http://schemas.openxmlformats.org/officeDocument/2006/relationships/hyperlink" Target="mailto:klantenservice@claussport.nl" TargetMode="External" Id="rId41"/><Relationship Type="http://schemas.openxmlformats.org/officeDocument/2006/relationships/hyperlink" Target="https://www.sport2000.nl/nl/vind-een-winkel/details/sport-2000-claus-doetinchem/" TargetMode="External" Id="rId42"/><Relationship Type="http://schemas.openxmlformats.org/officeDocument/2006/relationships/hyperlink" Target="mailto:info@snelderssport.nl" TargetMode="External" Id="rId43"/><Relationship Type="http://schemas.openxmlformats.org/officeDocument/2006/relationships/hyperlink" Target="https://www.sport2000.nl/nl/vind-een-winkel/details/sport-2000-snelders-elst/" TargetMode="External" Id="rId44"/><Relationship Type="http://schemas.openxmlformats.org/officeDocument/2006/relationships/hyperlink" Target="mailto:info@sport2000haverhals.nl" TargetMode="External" Id="rId45"/><Relationship Type="http://schemas.openxmlformats.org/officeDocument/2006/relationships/hyperlink" Target="https://www.sport2000.nl/nl/vind-een-winkel/details/sport-2000-haverhals-badhoevedorp/" TargetMode="External" Id="rId46"/><Relationship Type="http://schemas.openxmlformats.org/officeDocument/2006/relationships/hyperlink" Target="mailto:info@sport2000enkhuizen.nl" TargetMode="External" Id="rId47"/><Relationship Type="http://schemas.openxmlformats.org/officeDocument/2006/relationships/hyperlink" Target="https://www.sport2000.nl/nl/vind-een-winkel/details/sport-2000-enkhuizen/" TargetMode="External" Id="rId48"/><Relationship Type="http://schemas.openxmlformats.org/officeDocument/2006/relationships/hyperlink" Target="mailto:info@sport2000hilversum.nl" TargetMode="External" Id="rId49"/><Relationship Type="http://schemas.openxmlformats.org/officeDocument/2006/relationships/hyperlink" Target="https://www.sport2000.nl/nl/vind-een-winkel/details/sport-2000-hilversum/" TargetMode="External" Id="rId50"/><Relationship Type="http://schemas.openxmlformats.org/officeDocument/2006/relationships/hyperlink" Target="mailto:info@ralphsports.nl" TargetMode="External" Id="rId51"/><Relationship Type="http://schemas.openxmlformats.org/officeDocument/2006/relationships/hyperlink" Target="https://www.sport2000.nl/nl/vind-een-winkel/details/sport-2000-soccer-center-ralph-sports-nieuwegein/" TargetMode="External" Id="rId52"/><Relationship Type="http://schemas.openxmlformats.org/officeDocument/2006/relationships/hyperlink" Target="mailto:info@delangesport.nl" TargetMode="External" Id="rId53"/><Relationship Type="http://schemas.openxmlformats.org/officeDocument/2006/relationships/hyperlink" Target="https://www.sport2000.nl/nl/vind-een-winkel/details/sport-2000-de-lange-noordwijk/" TargetMode="External" Id="rId54"/><Relationship Type="http://schemas.openxmlformats.org/officeDocument/2006/relationships/hyperlink" Target="mailto:info@sport2000purmerend.nl" TargetMode="External" Id="rId55"/><Relationship Type="http://schemas.openxmlformats.org/officeDocument/2006/relationships/hyperlink" Target="https://www.sport2000.nl/nl/vind-een-winkel/details/sport-2000-purmerend/" TargetMode="External" Id="rId56"/><Relationship Type="http://schemas.openxmlformats.org/officeDocument/2006/relationships/hyperlink" Target="mailto:info@sport2000rotterdam.nl" TargetMode="External" Id="rId57"/><Relationship Type="http://schemas.openxmlformats.org/officeDocument/2006/relationships/hyperlink" Target="https://www.sport2000.nl/nl/vind-een-winkel/details/absolute-teamsport-rotterdam/" TargetMode="External" Id="rId58"/><Relationship Type="http://schemas.openxmlformats.org/officeDocument/2006/relationships/hyperlink" Target="mailto:info@paulpesselsport.nl" TargetMode="External" Id="rId59"/><Relationship Type="http://schemas.openxmlformats.org/officeDocument/2006/relationships/hyperlink" Target="https://www.sport2000.nl/nl/vind-een-winkel/details/sport-2000-soccer-center-paul-pessel-utrecht/" TargetMode="External" Id="rId60"/><Relationship Type="http://schemas.openxmlformats.org/officeDocument/2006/relationships/hyperlink" Target="mailto:info@sport2000zeist.nl" TargetMode="External" Id="rId61"/><Relationship Type="http://schemas.openxmlformats.org/officeDocument/2006/relationships/hyperlink" Target="https://www.sport2000.nl/nl/vind-een-winkel/details/sport-2000-zeist/" TargetMode="External" Id="rId62"/><Relationship Type="http://schemas.openxmlformats.org/officeDocument/2006/relationships/hyperlink" Target="mailto:info@bsboxtel.nl" TargetMode="External" Id="rId63"/><Relationship Type="http://schemas.openxmlformats.org/officeDocument/2006/relationships/hyperlink" Target="https://www.sport2000.nl/nl/vind-een-winkel/details/sport-2000-brabant-sports-boxtel/" TargetMode="External" Id="rId64"/><Relationship Type="http://schemas.openxmlformats.org/officeDocument/2006/relationships/hyperlink" Target="mailto:info@fairsports.nl" TargetMode="External" Id="rId65"/><Relationship Type="http://schemas.openxmlformats.org/officeDocument/2006/relationships/hyperlink" Target="https://www.sport2000.nl/nl/vind-een-winkel/details/sport-2000-fairsports-oirschot/" TargetMode="External" Id="rId66"/><Relationship Type="http://schemas.openxmlformats.org/officeDocument/2006/relationships/hyperlink" Target="mailto:info@sport2000debruijn.nl" TargetMode="External" Id="rId67"/><Relationship Type="http://schemas.openxmlformats.org/officeDocument/2006/relationships/hyperlink" Target="https://www.sport2000.nl/nl/vind-een-winkel/details/sport-2000-de-bruijn-panningen/" TargetMode="External" Id="rId68"/><Relationship Type="http://schemas.openxmlformats.org/officeDocument/2006/relationships/hyperlink" Target="mailto:desportzaak@home.nl" TargetMode="External" Id="rId69"/><Relationship Type="http://schemas.openxmlformats.org/officeDocument/2006/relationships/hyperlink" Target="https://www.sport2000.nl/nl/vind-een-winkel/details/sport-2000-soccer-center-posno-sport-roermond/" TargetMode="External" Id="rId70"/><Relationship Type="http://schemas.openxmlformats.org/officeDocument/2006/relationships/hyperlink" Target="mailto:info@colada.nl" TargetMode="External" Id="rId71"/><Relationship Type="http://schemas.openxmlformats.org/officeDocument/2006/relationships/hyperlink" Target="https://www.sport2000.nl/nl/vind-een-winkel/details/sport-2000-colada-weert/" TargetMode="External" Id="rId72"/><Relationship Type="http://schemas.openxmlformats.org/officeDocument/2006/relationships/hyperlink" Target="mailto:info@sportpaleis.nl" TargetMode="External" Id="rId73"/><Relationship Type="http://schemas.openxmlformats.org/officeDocument/2006/relationships/hyperlink" Target="https://www.sport2000.nl/nl/vind-een-winkel/details/sport-2000-sportpaleis-almere/" TargetMode="External" Id="rId74"/><Relationship Type="http://schemas.openxmlformats.org/officeDocument/2006/relationships/hyperlink" Target="mailto:dekkersport.2000@casema.nl" TargetMode="External" Id="rId75"/><Relationship Type="http://schemas.openxmlformats.org/officeDocument/2006/relationships/hyperlink" Target="https://www.sport2000.nl/nl/vind-een-winkel/details/sport-2000-castricum/" TargetMode="External" Id="rId76"/><Relationship Type="http://schemas.openxmlformats.org/officeDocument/2006/relationships/hyperlink" Target="mailto:marketing@bouchiersport2000.nl" TargetMode="External" Id="rId77"/><Relationship Type="http://schemas.openxmlformats.org/officeDocument/2006/relationships/hyperlink" Target="https://www.sport2000.nl/nl/vind-een-winkel/details/sport-2000-bouchier-hoorn/" TargetMode="External" Id="rId78"/><Relationship Type="http://schemas.openxmlformats.org/officeDocument/2006/relationships/hyperlink" Target="mailto:info@sport2000leiderdorp.nl" TargetMode="External" Id="rId79"/><Relationship Type="http://schemas.openxmlformats.org/officeDocument/2006/relationships/hyperlink" Target="https://www.sport2000.nl/nl/vind-een-winkel/details/sport-2000-leiderdorp/" TargetMode="External" Id="rId80"/><Relationship Type="http://schemas.openxmlformats.org/officeDocument/2006/relationships/hyperlink" Target="mailto:info@sport2000zaandam.nl" TargetMode="External" Id="rId81"/><Relationship Type="http://schemas.openxmlformats.org/officeDocument/2006/relationships/hyperlink" Target="https://www.sport2000.nl/nl/vind-een-winkel/details/sport-2000-zaandam/" TargetMode="External" Id="rId82"/><Relationship Type="http://schemas.openxmlformats.org/officeDocument/2006/relationships/hyperlink" Target="mailto:info@sporthuisolympia.nl" TargetMode="External" Id="rId83"/><Relationship Type="http://schemas.openxmlformats.org/officeDocument/2006/relationships/hyperlink" Target="https://www.sport2000.nl/nl/vind-een-winkel/details/sport-2000-sporthuis-olympia-veldhoven/" TargetMode="External" Id="rId84"/><Relationship Type="http://schemas.openxmlformats.org/officeDocument/2006/relationships/hyperlink" Target="mailto:info@sport2000naaldwijk.nl" TargetMode="External" Id="rId85"/><Relationship Type="http://schemas.openxmlformats.org/officeDocument/2006/relationships/hyperlink" Target="https://www.sport2000.nl/nl/vind-een-winkel/details/sport-2000-naaldwijk/" TargetMode="External" Id="rId86"/><Relationship Type="http://schemas.openxmlformats.org/officeDocument/2006/relationships/hyperlink" Target="mailto:info@sport2000nootdorp.nl" TargetMode="External" Id="rId87"/><Relationship Type="http://schemas.openxmlformats.org/officeDocument/2006/relationships/hyperlink" Target="https://www.sport2000.nl/nl/vind-een-winkel/details/sport-2000-nootdorp/" TargetMode="External" Id="rId88"/><Relationship Type="http://schemas.openxmlformats.org/officeDocument/2006/relationships/hyperlink" Target="mailto:info@sport2000stehmann.nl" TargetMode="External" Id="rId89"/><Relationship Type="http://schemas.openxmlformats.org/officeDocument/2006/relationships/hyperlink" Target="https://www.sport2000.nl/nl/vind-een-winkel/details/sport-2000-stehmann-zaltbommel/" TargetMode="External" Id="rId90"/><Relationship Type="http://schemas.openxmlformats.org/officeDocument/2006/relationships/hyperlink" Target="mailto:info@sport2000egmondaanzee.nl" TargetMode="External" Id="rId91"/><Relationship Type="http://schemas.openxmlformats.org/officeDocument/2006/relationships/hyperlink" Target="https://www.sport2000.nl/nl/vind-een-winkel/details/sport-2000-egmond-aan-zee/" TargetMode="External" Id="rId92"/><Relationship Type="http://schemas.openxmlformats.org/officeDocument/2006/relationships/hyperlink" Target="mailto:info@sport2000heemstede.nl" TargetMode="External" Id="rId93"/><Relationship Type="http://schemas.openxmlformats.org/officeDocument/2006/relationships/hyperlink" Target="https://www.sport2000.nl/nl/vind-een-winkel/details/sport-2000-heemstede/" TargetMode="External" Id="rId94"/><Relationship Type="http://schemas.openxmlformats.org/officeDocument/2006/relationships/hyperlink" Target="mailto:info@sport2000rijswijk.nl" TargetMode="External" Id="rId95"/><Relationship Type="http://schemas.openxmlformats.org/officeDocument/2006/relationships/hyperlink" Target="https://www.sport2000.nl/nl/vind-een-winkel/details/sport-2000-rijswijk/" TargetMode="External" Id="rId96"/><Relationship Type="http://schemas.openxmlformats.org/officeDocument/2006/relationships/hyperlink" Target="mailto:info@sport2000oosterhout.nl" TargetMode="External" Id="rId97"/><Relationship Type="http://schemas.openxmlformats.org/officeDocument/2006/relationships/hyperlink" Target="https://www.sport2000.nl/nl/vind-een-winkel/details/sport-2000-oosterhout/" TargetMode="External" Id="rId98"/><Relationship Type="http://schemas.openxmlformats.org/officeDocument/2006/relationships/table" Target="/xl/tables/table1.xml" Id="rId99"/></Relationships>
</file>

<file path=xl/worksheets/sheet1.xml><?xml version="1.0" encoding="utf-8"?>
<worksheet xmlns="http://schemas.openxmlformats.org/spreadsheetml/2006/main">
  <sheetPr>
    <tabColor rgb="00CCFF00"/>
    <outlinePr summaryBelow="1" summaryRight="0"/>
    <pageSetUpPr fitToPage="1"/>
  </sheetPr>
  <dimension ref="A1:U5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9" customWidth="1" min="2" max="2"/>
    <col width="38" customWidth="1" min="3" max="3"/>
    <col width="16" customWidth="1" min="4" max="4"/>
    <col width="8" customWidth="1" min="5" max="5"/>
    <col width="27" customWidth="1" min="6" max="6"/>
    <col width="14" customWidth="1" min="7" max="7"/>
    <col width="40" customWidth="1" min="8" max="8"/>
    <col width="32" customWidth="1" min="9" max="9"/>
    <col width="15" customWidth="1" min="10" max="10"/>
    <col width="32" customWidth="1" min="11" max="11"/>
    <col width="13" customWidth="1" min="12" max="12"/>
    <col width="10" customWidth="1" min="13" max="13"/>
    <col width="62" customWidth="1" min="14" max="14"/>
    <col width="34" customWidth="1" min="15" max="15"/>
    <col hidden="1" outlineLevel="1" width="34" customWidth="1" min="16" max="21"/>
  </cols>
  <sheetData>
    <row r="1" ht="30" customHeight="1">
      <c r="A1" s="1" t="inlineStr">
        <is>
          <t>SPORT 2000 NEDERLAND · COLDCALL</t>
        </is>
      </c>
    </row>
    <row r="2" ht="18" customHeight="1">
      <c r="A2" s="2">
        <f>"Peildatum 27-10-2026  ·  "&amp;COUNTA($C$6:$C$54)&amp;" winkels  ·  Nu doen: "&amp;(COUNTIF($B$6:$B$54,"OPVOLGEN")+COUNTIF($B$6:$B$54,"BELLEN")+COUNTIF($B$6:$B$54,"MAILEN")+COUNTIF($B$6:$B$54,"EERSTE BENADERING"))&amp;" (opvolgen "&amp;COUNTIF($B$6:$B$54,"OPVOLGEN")&amp;", bellen "&amp;COUNTIF($B$6:$B$54,"BELLEN")&amp;", mailen "&amp;COUNTIF($B$6:$B$54,"MAILEN")&amp;", eerste benadering "&amp;COUNTIF($B$6:$B$54,"EERSTE BENADERING")&amp;")  ·  Wachten/later: "&amp;(COUNTIF($B$6:$B$54,"WACHTEN")+COUNTIF($B$6:$B$54,"LATER"))&amp;"  ·  Klant: "&amp;COUNTIF($B$6:$B$54,"KLANT")</f>
        <v/>
      </c>
    </row>
    <row r="3" ht="20" customHeight="1">
      <c r="B3" s="3" t="inlineStr">
        <is>
          <t>OPVOLGEN</t>
        </is>
      </c>
      <c r="C3" s="4" t="inlineStr">
        <is>
          <t>BELLEN</t>
        </is>
      </c>
      <c r="D3" s="5" t="inlineStr">
        <is>
          <t>MAILEN</t>
        </is>
      </c>
      <c r="F3" s="6" t="inlineStr">
        <is>
          <t>WACHTEN</t>
        </is>
      </c>
      <c r="G3" s="7" t="inlineStr">
        <is>
          <t>EERSTE BENADERING</t>
        </is>
      </c>
      <c r="H3" s="8" t="inlineStr">
        <is>
          <t>LATER</t>
        </is>
      </c>
      <c r="I3" s="9" t="inlineStr">
        <is>
          <t>KLANT</t>
        </is>
      </c>
      <c r="J3" s="10" t="inlineStr">
        <is>
          <t>NIET BENADEREN</t>
        </is>
      </c>
    </row>
    <row r="4" ht="14" customHeight="1">
      <c r="B4" s="11" t="inlineStr">
        <is>
          <t>Reminder of feedback vragen</t>
        </is>
      </c>
      <c r="C4" s="11" t="inlineStr">
        <is>
          <t>Nu bellen</t>
        </is>
      </c>
      <c r="D4" s="11" t="inlineStr">
        <is>
          <t>Nu mailen</t>
        </is>
      </c>
      <c r="F4" s="11" t="inlineStr">
        <is>
          <t>Zij zijn aan zet</t>
        </is>
      </c>
      <c r="G4" s="11" t="inlineStr">
        <is>
          <t>Bellen, daarna mailen</t>
        </is>
      </c>
      <c r="H4" s="11" t="inlineStr">
        <is>
          <t>Op het genoemde moment</t>
        </is>
      </c>
      <c r="I4" s="11" t="inlineStr">
        <is>
          <t>Relatie onderhouden</t>
        </is>
      </c>
      <c r="J4" s="11" t="inlineStr">
        <is>
          <t>Nooit meer benaderen</t>
        </is>
      </c>
    </row>
    <row r="5" ht="30" customHeight="1">
      <c r="A5" s="12" t="inlineStr">
        <is>
          <t>#</t>
        </is>
      </c>
      <c r="B5" s="13" t="inlineStr">
        <is>
          <t>Volgende actie</t>
        </is>
      </c>
      <c r="C5" s="13" t="inlineStr">
        <is>
          <t>Naam</t>
        </is>
      </c>
      <c r="D5" s="13" t="inlineStr">
        <is>
          <t>Plaats</t>
        </is>
      </c>
      <c r="E5" s="12" t="inlineStr">
        <is>
          <t>Regio</t>
        </is>
      </c>
      <c r="F5" s="13" t="inlineStr">
        <is>
          <t>Status</t>
        </is>
      </c>
      <c r="G5" s="13" t="inlineStr">
        <is>
          <t>Wanneer</t>
        </is>
      </c>
      <c r="H5" s="13" t="inlineStr">
        <is>
          <t>Wat nu</t>
        </is>
      </c>
      <c r="I5" s="13" t="inlineStr">
        <is>
          <t>Contactpersoon</t>
        </is>
      </c>
      <c r="J5" s="13" t="inlineStr">
        <is>
          <t>Telefoon</t>
        </is>
      </c>
      <c r="K5" s="13" t="inlineStr">
        <is>
          <t>E-mail</t>
        </is>
      </c>
      <c r="L5" s="12" t="inlineStr">
        <is>
          <t>Laatste contact</t>
        </is>
      </c>
      <c r="M5" s="12" t="inlineStr">
        <is>
          <t>Dagen geleden</t>
        </is>
      </c>
      <c r="N5" s="13" t="inlineStr">
        <is>
          <t>Wat is er gedaan</t>
        </is>
      </c>
      <c r="O5" s="13" t="inlineStr">
        <is>
          <t>Producten / specialisatie</t>
        </is>
      </c>
      <c r="P5" s="13" t="inlineStr">
        <is>
          <t>Adres</t>
        </is>
      </c>
      <c r="Q5" s="13" t="inlineStr">
        <is>
          <t>Provincie</t>
        </is>
      </c>
      <c r="R5" s="13" t="inlineStr">
        <is>
          <t>Formule</t>
        </is>
      </c>
      <c r="S5" s="13" t="inlineStr">
        <is>
          <t>Opmerking</t>
        </is>
      </c>
      <c r="T5" s="13" t="inlineStr">
        <is>
          <t>Volledige historie</t>
        </is>
      </c>
      <c r="U5" s="13" t="inlineStr">
        <is>
          <t>Winkelpagina</t>
        </is>
      </c>
    </row>
    <row r="6" ht="36" customHeight="1">
      <c r="A6" s="14" t="n">
        <v>1</v>
      </c>
      <c r="B6" s="15" t="inlineStr">
        <is>
          <t>OPVOLGEN</t>
        </is>
      </c>
      <c r="C6" s="16" t="inlineStr">
        <is>
          <t>Sport 2000 Heerhugowaard</t>
        </is>
      </c>
      <c r="D6" s="17" t="inlineStr">
        <is>
          <t>Heerhugowaard</t>
        </is>
      </c>
      <c r="E6" s="14" t="inlineStr">
        <is>
          <t>West</t>
        </is>
      </c>
      <c r="F6" s="18" t="inlineStr">
        <is>
          <t>Gemaild / Gebeld</t>
        </is>
      </c>
      <c r="G6" s="17" t="inlineStr">
        <is>
          <t>Nu</t>
        </is>
      </c>
      <c r="H6" s="17" t="inlineStr">
        <is>
          <t>Reminder sturen of bellen</t>
        </is>
      </c>
      <c r="I6" s="17" t="inlineStr">
        <is>
          <t>info@sport2000heerhugowaard.nl</t>
        </is>
      </c>
      <c r="J6" s="17" t="inlineStr">
        <is>
          <t>072-5722779</t>
        </is>
      </c>
      <c r="K6" s="19" t="inlineStr">
        <is>
          <t>info@sport2000heerhugowaard.nl</t>
        </is>
      </c>
      <c r="L6" s="20" t="n"/>
      <c r="M6" s="21">
        <f>IF(L6="","",TODAY()-L6)</f>
        <v/>
      </c>
      <c r="N6" s="17" t="inlineStr">
        <is>
          <t>Gemaild/gebeld volgens sheet, info@-adres genoteerd. Geen reactie vermeld.</t>
        </is>
      </c>
      <c r="O6" s="17" t="inlineStr">
        <is>
          <t>Tennis, handbal, hardlopen, hockey, voetbal, fitness</t>
        </is>
      </c>
      <c r="P6" s="17" t="inlineStr">
        <is>
          <t>Middenwaard 48 b, 1703 SH</t>
        </is>
      </c>
      <c r="Q6" s="17" t="inlineStr">
        <is>
          <t>Noord-Holland</t>
        </is>
      </c>
      <c r="R6" s="17" t="inlineStr">
        <is>
          <t>Sport 2000</t>
        </is>
      </c>
      <c r="S6" s="17" t="inlineStr"/>
      <c r="T6" s="17" t="inlineStr">
        <is>
          <t>Retail-sheet: gemarkeerd 'Gemaild / Gebeld', info@-adres genoteerd</t>
        </is>
      </c>
      <c r="U6" s="19" t="inlineStr">
        <is>
          <t>https://www.sport2000.nl/nl/vind-een-winkel/details/sport-2000-heerhugowaard/</t>
        </is>
      </c>
    </row>
    <row r="7" ht="36" customHeight="1">
      <c r="A7" s="14" t="n">
        <v>2</v>
      </c>
      <c r="B7" s="15" t="inlineStr">
        <is>
          <t>OPVOLGEN</t>
        </is>
      </c>
      <c r="C7" s="16" t="inlineStr">
        <is>
          <t>Sport 2000 Sportshop Bouwes Schagen</t>
        </is>
      </c>
      <c r="D7" s="17" t="inlineStr">
        <is>
          <t>Schagen</t>
        </is>
      </c>
      <c r="E7" s="14" t="inlineStr">
        <is>
          <t>West</t>
        </is>
      </c>
      <c r="F7" s="18" t="inlineStr">
        <is>
          <t>Positieve lead</t>
        </is>
      </c>
      <c r="G7" s="17" t="inlineStr">
        <is>
          <t>Nu</t>
        </is>
      </c>
      <c r="H7" s="17" t="inlineStr">
        <is>
          <t>Feedback op samples vragen; bellen als het stil blijft. Lead in Bigin</t>
        </is>
      </c>
      <c r="I7" s="17" t="inlineStr">
        <is>
          <t>Michel van der Wardt; michel@sportshopbouwes.nl</t>
        </is>
      </c>
      <c r="J7" s="17" t="inlineStr">
        <is>
          <t>0224 - 296697</t>
        </is>
      </c>
      <c r="K7" s="19" t="inlineStr">
        <is>
          <t>info@sportshopbouwes.nl</t>
        </is>
      </c>
      <c r="L7" s="20" t="n">
        <v>46297</v>
      </c>
      <c r="M7" s="21">
        <f>IF(L7="","",TODAY()-L7)</f>
        <v/>
      </c>
      <c r="N7" s="17" t="inlineStr">
        <is>
          <t>Samples bezorgd 23-09. Michel (bedrijfsleider) 02-10: collega test, 'je hoort snel van mij'.</t>
        </is>
      </c>
      <c r="O7" s="17" t="inlineStr">
        <is>
          <t>Voetbal, casual, indoor (hanbal en volleybal), winter, running, fitness, tennis.</t>
        </is>
      </c>
      <c r="P7" s="17" t="inlineStr">
        <is>
          <t>Gedempte Gracht 34, 1741 GC</t>
        </is>
      </c>
      <c r="Q7" s="17" t="inlineStr">
        <is>
          <t>Noord-Holland</t>
        </is>
      </c>
      <c r="R7" s="17" t="inlineStr">
        <is>
          <t>Sport 2000</t>
        </is>
      </c>
      <c r="S7" s="17" t="inlineStr">
        <is>
          <t>Blauw gemarkeerd in Timo's lijst (betekenis nog te bevestigen)</t>
        </is>
      </c>
      <c r="T7" s="17" t="inlineStr">
        <is>
          <t>Mailbox info@ (27-10-2026): samples gevraagd 19-09-2026 door Michel van der Wardt (bedrijfsleider); pakket bezorgd 23-09 (MyParcel); nabel-mail 30-09; 02-10-2026 Michel: collega test de sokken, 'je hoort snel van mij'</t>
        </is>
      </c>
      <c r="U7" s="19" t="inlineStr">
        <is>
          <t>https://www.sport2000.nl/nl/vind-een-winkel/details/sport-2000-sportshop-bouwes-schagen/</t>
        </is>
      </c>
    </row>
    <row r="8" ht="36" customHeight="1">
      <c r="A8" s="14" t="n">
        <v>3</v>
      </c>
      <c r="B8" s="15" t="inlineStr">
        <is>
          <t>OPVOLGEN</t>
        </is>
      </c>
      <c r="C8" s="16" t="inlineStr">
        <is>
          <t>Sport 2000 Parkstad Kerkrade</t>
        </is>
      </c>
      <c r="D8" s="17" t="inlineStr">
        <is>
          <t>Kerkrade</t>
        </is>
      </c>
      <c r="E8" s="14" t="inlineStr">
        <is>
          <t>Zuid</t>
        </is>
      </c>
      <c r="F8" s="18" t="inlineStr">
        <is>
          <t>Gemaild / Gebeld</t>
        </is>
      </c>
      <c r="G8" s="17" t="inlineStr">
        <is>
          <t>Nu</t>
        </is>
      </c>
      <c r="H8" s="17" t="inlineStr">
        <is>
          <t>Opvolgen bij Melvin of Raymond</t>
        </is>
      </c>
      <c r="I8" s="17" t="inlineStr">
        <is>
          <t>Melvin; raymond@sport2000parkstad.nl</t>
        </is>
      </c>
      <c r="J8" s="17" t="inlineStr">
        <is>
          <t>045-5421855</t>
        </is>
      </c>
      <c r="K8" s="19" t="inlineStr">
        <is>
          <t>info@sport2000parkstad.nl</t>
        </is>
      </c>
      <c r="L8" s="20" t="n"/>
      <c r="M8" s="21">
        <f>IF(L8="","",TODAY()-L8)</f>
        <v/>
      </c>
      <c r="N8" s="17" t="inlineStr">
        <is>
          <t>Gesproken met Melvin, mail naar Raymond. Geen vervolg vermeld.</t>
        </is>
      </c>
      <c r="O8" s="17" t="inlineStr">
        <is>
          <t>Voetbal, Running, Fitness, Teamwear en bedrukking, Bedrijfskleding, Casual, Outdoor, Wandel, Fietskleding, Wintersportkleding</t>
        </is>
      </c>
      <c r="P8" s="17" t="inlineStr">
        <is>
          <t>Wiebachstraat 77A, 6466 NG</t>
        </is>
      </c>
      <c r="Q8" s="17" t="inlineStr">
        <is>
          <t>Limburg</t>
        </is>
      </c>
      <c r="R8" s="17" t="inlineStr">
        <is>
          <t>Sport 2000</t>
        </is>
      </c>
      <c r="S8" s="17" t="inlineStr">
        <is>
          <t>Blauw gemarkeerd in Timo's lijst (betekenis nog te bevestigen)</t>
        </is>
      </c>
      <c r="T8" s="17" t="inlineStr">
        <is>
          <t>Retail-sheet: gemarkeerd 'Gemaild / Gebeld', gesproken met Melvin, mail naar raymond@</t>
        </is>
      </c>
      <c r="U8" s="19" t="inlineStr">
        <is>
          <t>https://www.sport2000.nl/nl/vind-een-winkel/details/sport-2000-parkstad-kerkrade/</t>
        </is>
      </c>
    </row>
    <row r="9" ht="36" customHeight="1">
      <c r="A9" s="14" t="n">
        <v>4</v>
      </c>
      <c r="B9" s="15" t="inlineStr">
        <is>
          <t>BELLEN</t>
        </is>
      </c>
      <c r="C9" s="16" t="inlineStr">
        <is>
          <t>Sport 2000 Appingedam</t>
        </is>
      </c>
      <c r="D9" s="17" t="inlineStr">
        <is>
          <t>Appingedam</t>
        </is>
      </c>
      <c r="E9" s="14" t="inlineStr">
        <is>
          <t>Noord</t>
        </is>
      </c>
      <c r="F9" s="18" t="inlineStr">
        <is>
          <t>Bellen</t>
        </is>
      </c>
      <c r="G9" s="17" t="inlineStr">
        <is>
          <t>Nu</t>
        </is>
      </c>
      <c r="H9" s="17" t="inlineStr">
        <is>
          <t>Bellen</t>
        </is>
      </c>
      <c r="I9" s="17" t="inlineStr"/>
      <c r="J9" s="17" t="inlineStr">
        <is>
          <t>0596-680544</t>
        </is>
      </c>
      <c r="K9" s="19" t="inlineStr">
        <is>
          <t>sporthuismossel@home.nl</t>
        </is>
      </c>
      <c r="L9" s="20" t="n"/>
      <c r="M9" s="21">
        <f>IF(L9="","",TODAY()-L9)</f>
        <v/>
      </c>
      <c r="N9" s="17" t="inlineStr">
        <is>
          <t>Sheet: 'dinsdag bellen'. Verder geen contact gevonden.</t>
        </is>
      </c>
      <c r="O9" s="17" t="inlineStr">
        <is>
          <t>Breed sportassortiment (indicatief; niet gepubliceerd per winkel)</t>
        </is>
      </c>
      <c r="P9" s="17" t="inlineStr">
        <is>
          <t>Dijkstraat 72-74, 9901 AV</t>
        </is>
      </c>
      <c r="Q9" s="17" t="inlineStr">
        <is>
          <t>Groningen</t>
        </is>
      </c>
      <c r="R9" s="17" t="inlineStr">
        <is>
          <t>Sport 2000</t>
        </is>
      </c>
      <c r="S9" s="17" t="inlineStr"/>
      <c r="T9" s="17" t="inlineStr">
        <is>
          <t>Retail-sheet: 'DINSDAG BELLEN'. Timo's lijst: 'heel veel paar'</t>
        </is>
      </c>
      <c r="U9" s="19" t="inlineStr">
        <is>
          <t>https://www.sport2000.nl/nl/vind-een-winkel/details/sport-2000-appingedam/</t>
        </is>
      </c>
    </row>
    <row r="10" ht="36" customHeight="1">
      <c r="A10" s="14" t="n">
        <v>5</v>
      </c>
      <c r="B10" s="15" t="inlineStr">
        <is>
          <t>BELLEN</t>
        </is>
      </c>
      <c r="C10" s="16" t="inlineStr">
        <is>
          <t>Absolute Teamsport Free-Kick Den Haag</t>
        </is>
      </c>
      <c r="D10" s="17" t="inlineStr">
        <is>
          <t>Den Haag</t>
        </is>
      </c>
      <c r="E10" s="14" t="inlineStr">
        <is>
          <t>West</t>
        </is>
      </c>
      <c r="F10" s="18" t="inlineStr">
        <is>
          <t>Bellen</t>
        </is>
      </c>
      <c r="G10" s="17" t="inlineStr">
        <is>
          <t>Nu</t>
        </is>
      </c>
      <c r="H10" s="17" t="inlineStr">
        <is>
          <t>Bellen, vragen naar Carlo</t>
        </is>
      </c>
      <c r="I10" s="17" t="inlineStr">
        <is>
          <t>Carlo</t>
        </is>
      </c>
      <c r="J10" s="17" t="inlineStr">
        <is>
          <t>070-3636323</t>
        </is>
      </c>
      <c r="K10" s="19" t="inlineStr">
        <is>
          <t>sport@free-kick.nl</t>
        </is>
      </c>
      <c r="L10" s="20" t="n"/>
      <c r="M10" s="21">
        <f>IF(L10="","",TODAY()-L10)</f>
        <v/>
      </c>
      <c r="N10" s="17" t="inlineStr">
        <is>
          <t>Timo's lijst: 'Morgen bellen, Carlo'.</t>
        </is>
      </c>
      <c r="O10" s="17" t="inlineStr">
        <is>
          <t>Voetbal, casual, hockey</t>
        </is>
      </c>
      <c r="P10" s="17" t="inlineStr">
        <is>
          <t>De Savornin Lohmanplein 45 A, 2566 AE</t>
        </is>
      </c>
      <c r="Q10" s="17" t="inlineStr">
        <is>
          <t>Zuid-Holland</t>
        </is>
      </c>
      <c r="R10" s="17" t="inlineStr">
        <is>
          <t>Absolute Teamsport</t>
        </is>
      </c>
      <c r="S10" s="17" t="inlineStr"/>
      <c r="T10" s="17" t="inlineStr">
        <is>
          <t>Timo's lijst: 'Morgen bellen, Carlo'</t>
        </is>
      </c>
      <c r="U10" s="19" t="inlineStr">
        <is>
          <t>https://www.sport2000.nl/nl/vind-een-winkel/details/absolute-teamsport-free-kick-den-haag/</t>
        </is>
      </c>
    </row>
    <row r="11" ht="36" customHeight="1">
      <c r="A11" s="14" t="n">
        <v>6</v>
      </c>
      <c r="B11" s="15" t="inlineStr">
        <is>
          <t>BELLEN</t>
        </is>
      </c>
      <c r="C11" s="16" t="inlineStr">
        <is>
          <t>Sport 2000 L.J. Sport Lisse</t>
        </is>
      </c>
      <c r="D11" s="17" t="inlineStr">
        <is>
          <t>Lisse</t>
        </is>
      </c>
      <c r="E11" s="14" t="inlineStr">
        <is>
          <t>West</t>
        </is>
      </c>
      <c r="F11" s="18" t="inlineStr">
        <is>
          <t>Bellen</t>
        </is>
      </c>
      <c r="G11" s="17" t="inlineStr">
        <is>
          <t>Nu</t>
        </is>
      </c>
      <c r="H11" s="17" t="inlineStr">
        <is>
          <t>Opnieuw bellen, Patrick vragen</t>
        </is>
      </c>
      <c r="I11" s="17" t="inlineStr">
        <is>
          <t>Patrick</t>
        </is>
      </c>
      <c r="J11" s="17" t="inlineStr">
        <is>
          <t>0252-240777</t>
        </is>
      </c>
      <c r="K11" s="19" t="inlineStr">
        <is>
          <t>info@ljsport.nl</t>
        </is>
      </c>
      <c r="L11" s="20" t="n"/>
      <c r="M11" s="21">
        <f>IF(L11="","",TODAY()-L11)</f>
        <v/>
      </c>
      <c r="N11" s="17" t="inlineStr">
        <is>
          <t>Gebeld met Patrick (inkoop): 'heel druk'.</t>
        </is>
      </c>
      <c r="O11" s="17" t="inlineStr">
        <is>
          <t>Voetbal, Tennis, Hardlopen, Fitness, Hockey, Zaalsporten, Outdoor en Teamsport en Teamwear.</t>
        </is>
      </c>
      <c r="P11" s="17" t="inlineStr">
        <is>
          <t>Kanaalstraat 76, 2161 JN</t>
        </is>
      </c>
      <c r="Q11" s="17" t="inlineStr">
        <is>
          <t>Zuid-Holland</t>
        </is>
      </c>
      <c r="R11" s="17" t="inlineStr">
        <is>
          <t>Sport 2000</t>
        </is>
      </c>
      <c r="S11" s="17" t="inlineStr"/>
      <c r="T11" s="17" t="inlineStr">
        <is>
          <t>Retail-sheet: gebeld met Patrick (gaat over inkoop), gaf aan 'heel druk te zijn'</t>
        </is>
      </c>
      <c r="U11" s="19" t="inlineStr">
        <is>
          <t>https://www.sport2000.nl/nl/vind-een-winkel/details/sport-2000-lj-sport-lisse/</t>
        </is>
      </c>
    </row>
    <row r="12" ht="36" customHeight="1">
      <c r="A12" s="14" t="n">
        <v>7</v>
      </c>
      <c r="B12" s="15" t="inlineStr">
        <is>
          <t>BELLEN</t>
        </is>
      </c>
      <c r="C12" s="16" t="inlineStr">
        <is>
          <t>Sport 2000 Spijkenisse</t>
        </is>
      </c>
      <c r="D12" s="17" t="inlineStr">
        <is>
          <t>Spijkenisse</t>
        </is>
      </c>
      <c r="E12" s="14" t="inlineStr">
        <is>
          <t>West</t>
        </is>
      </c>
      <c r="F12" s="18" t="inlineStr">
        <is>
          <t>Nu geen interesse, later opnieuw benaderen</t>
        </is>
      </c>
      <c r="G12" s="17" t="inlineStr">
        <is>
          <t>Nu (okt/nov)</t>
        </is>
      </c>
      <c r="H12" s="17" t="inlineStr">
        <is>
          <t>Nu opnieuw bellen, dit was het genoemde moment</t>
        </is>
      </c>
      <c r="I12" s="17" t="inlineStr"/>
      <c r="J12" s="17" t="inlineStr">
        <is>
          <t>0181-623743</t>
        </is>
      </c>
      <c r="K12" s="19" t="inlineStr">
        <is>
          <t>info@sport2000spijkenisse.nl</t>
        </is>
      </c>
      <c r="L12" s="20" t="n">
        <v>45836</v>
      </c>
      <c r="M12" s="21">
        <f>IF(L12="","",TODAY()-L12)</f>
        <v/>
      </c>
      <c r="N12" s="17" t="inlineStr">
        <is>
          <t>Gebeld 26-06-2025: toen geen behoefte, 'okt/nov wel interessant'. Mail 28-06-2025.</t>
        </is>
      </c>
      <c r="O12" s="17" t="inlineStr">
        <is>
          <t>Tennis, hardlopen, hockey, voetbal, fitness</t>
        </is>
      </c>
      <c r="P12" s="17" t="inlineStr">
        <is>
          <t>Uitstraat 113, 3201 EN</t>
        </is>
      </c>
      <c r="Q12" s="17" t="inlineStr">
        <is>
          <t>Zuid-Holland</t>
        </is>
      </c>
      <c r="R12" s="17" t="inlineStr">
        <is>
          <t>Sport 2000</t>
        </is>
      </c>
      <c r="S12" s="17" t="inlineStr"/>
      <c r="T12" s="17" t="inlineStr">
        <is>
          <t>Mailbox info@ (27-10-2026): gebeld do 26-06-2025: geen behoefte nu, 'rond oktober/november wel interessant'; mail 28-06-2025 (Tigo, sales@)</t>
        </is>
      </c>
      <c r="U12" s="19" t="inlineStr">
        <is>
          <t>https://www.sport2000.nl/nl/vind-een-winkel/details/sport-2000-spijkenisse/</t>
        </is>
      </c>
    </row>
    <row r="13" ht="36" customHeight="1">
      <c r="A13" s="14" t="n">
        <v>8</v>
      </c>
      <c r="B13" s="15" t="inlineStr">
        <is>
          <t>BELLEN</t>
        </is>
      </c>
      <c r="C13" s="16" t="inlineStr">
        <is>
          <t>Sport 2000 Voorburg</t>
        </is>
      </c>
      <c r="D13" s="17" t="inlineStr">
        <is>
          <t>Voorburg</t>
        </is>
      </c>
      <c r="E13" s="14" t="inlineStr">
        <is>
          <t>West</t>
        </is>
      </c>
      <c r="F13" s="18" t="inlineStr">
        <is>
          <t>Reminder gestuurd</t>
        </is>
      </c>
      <c r="G13" s="17" t="inlineStr">
        <is>
          <t>Nu</t>
        </is>
      </c>
      <c r="H13" s="17" t="inlineStr">
        <is>
          <t>Opnieuw bellen, vragen naar Thijs of Jesper</t>
        </is>
      </c>
      <c r="I13" s="17" t="inlineStr">
        <is>
          <t>Thijs, Jesper</t>
        </is>
      </c>
      <c r="J13" s="17" t="inlineStr">
        <is>
          <t>070-3861866</t>
        </is>
      </c>
      <c r="K13" s="19" t="inlineStr">
        <is>
          <t>info@sport2000voorburg.nl</t>
        </is>
      </c>
      <c r="L13" s="20" t="n">
        <v>45866</v>
      </c>
      <c r="M13" s="21">
        <f>IF(L13="","",TODAY()-L13)</f>
        <v/>
      </c>
      <c r="N13" s="17" t="inlineStr">
        <is>
          <t>Gebeld 26-06-2025, mail 28-06, reminder 28-07-2025. Geen reactie. Thijs en Jesper zouden kijken.</t>
        </is>
      </c>
      <c r="O13" s="17" t="inlineStr">
        <is>
          <t>Voetbal, hockey, tennis, hardlopen, fitness/indoor</t>
        </is>
      </c>
      <c r="P13" s="17" t="inlineStr">
        <is>
          <t>Koningin Julianaplein 14b, 2274 JD</t>
        </is>
      </c>
      <c r="Q13" s="17" t="inlineStr">
        <is>
          <t>Zuid-Holland</t>
        </is>
      </c>
      <c r="R13" s="17" t="inlineStr">
        <is>
          <t>Sport 2000</t>
        </is>
      </c>
      <c r="S13" s="17" t="inlineStr"/>
      <c r="T13" s="17" t="inlineStr">
        <is>
          <t>Mailbox info@ (27-10-2026): gebeld do 26-06-2025 (Thijs en Jesper zouden kijken); mail 28-06-2025; reminder 28-07-2025; geen reactie gevonden</t>
        </is>
      </c>
      <c r="U13" s="19" t="inlineStr">
        <is>
          <t>https://www.sport2000.nl/nl/vind-een-winkel/details/sport-2000-voorburg/</t>
        </is>
      </c>
    </row>
    <row r="14" ht="36" customHeight="1">
      <c r="A14" s="14" t="n">
        <v>9</v>
      </c>
      <c r="B14" s="15" t="inlineStr">
        <is>
          <t>BELLEN</t>
        </is>
      </c>
      <c r="C14" s="16" t="inlineStr">
        <is>
          <t>Sport 2000 Akwi Sport Eindhoven</t>
        </is>
      </c>
      <c r="D14" s="17" t="inlineStr">
        <is>
          <t>Eindhoven</t>
        </is>
      </c>
      <c r="E14" s="14" t="inlineStr">
        <is>
          <t>Zuid</t>
        </is>
      </c>
      <c r="F14" s="18" t="inlineStr">
        <is>
          <t>Reminder gestuurd</t>
        </is>
      </c>
      <c r="G14" s="17" t="inlineStr">
        <is>
          <t>Nu</t>
        </is>
      </c>
      <c r="H14" s="17" t="inlineStr">
        <is>
          <t>Bellen</t>
        </is>
      </c>
      <c r="I14" s="17" t="inlineStr"/>
      <c r="J14" s="17" t="inlineStr">
        <is>
          <t>040 2451893</t>
        </is>
      </c>
      <c r="K14" s="19" t="inlineStr">
        <is>
          <t>info@akwisport.nl</t>
        </is>
      </c>
      <c r="L14" s="20" t="n">
        <v>46201</v>
      </c>
      <c r="M14" s="21">
        <f>IF(L14="","",TODAY()-L14)</f>
        <v/>
      </c>
      <c r="N14" s="17" t="inlineStr">
        <is>
          <t>Gebeld 17-06, gemaild 18-06, reminder 28-06-2026. Geen reactie.</t>
        </is>
      </c>
      <c r="O14" s="17" t="inlineStr">
        <is>
          <t>Tennis, Voetbal, Padel, Fitness, Running en Indoor</t>
        </is>
      </c>
      <c r="P14" s="17" t="inlineStr">
        <is>
          <t>Tongelresestraat 266, 5613 DV</t>
        </is>
      </c>
      <c r="Q14" s="17" t="inlineStr">
        <is>
          <t>Noord-Brabant</t>
        </is>
      </c>
      <c r="R14" s="17" t="inlineStr">
        <is>
          <t>Sport 2000</t>
        </is>
      </c>
      <c r="S14" s="17" t="inlineStr"/>
      <c r="T14" s="17" t="inlineStr">
        <is>
          <t>Mailbox info@ (27-10-2026): gebeld wo 17-06-2026 (collega); mail 18-06-2026; reminder 28-06-2026 (tigo@, cc info@); geen reactie gevonden</t>
        </is>
      </c>
      <c r="U14" s="19" t="inlineStr">
        <is>
          <t>https://www.sport2000.nl/nl/vind-een-winkel/details/sport-2000-akwi-sport-eindhoven/</t>
        </is>
      </c>
    </row>
    <row r="15" ht="36" customHeight="1">
      <c r="A15" s="14" t="n">
        <v>10</v>
      </c>
      <c r="B15" s="15" t="inlineStr">
        <is>
          <t>MAILEN</t>
        </is>
      </c>
      <c r="C15" s="16" t="inlineStr">
        <is>
          <t>Absolute Teamsport Leugemors Winterswijk</t>
        </is>
      </c>
      <c r="D15" s="17" t="inlineStr">
        <is>
          <t>Winterswijk</t>
        </is>
      </c>
      <c r="E15" s="14" t="inlineStr">
        <is>
          <t>Oost</t>
        </is>
      </c>
      <c r="F15" s="18" t="inlineStr">
        <is>
          <t>Mailen</t>
        </is>
      </c>
      <c r="G15" s="17" t="inlineStr">
        <is>
          <t>Nu</t>
        </is>
      </c>
      <c r="H15" s="17" t="inlineStr">
        <is>
          <t>Mailen</t>
        </is>
      </c>
      <c r="I15" s="17" t="inlineStr">
        <is>
          <t>verkoop@sport2000leugemors.nl (extra adres uit Timo's lijst)</t>
        </is>
      </c>
      <c r="J15" s="17" t="inlineStr">
        <is>
          <t>0543-512419</t>
        </is>
      </c>
      <c r="K15" s="19" t="inlineStr">
        <is>
          <t>info@atsleugemors.nl</t>
        </is>
      </c>
      <c r="L15" s="20" t="n"/>
      <c r="M15" s="21">
        <f>IF(L15="","",TODAY()-L15)</f>
        <v/>
      </c>
      <c r="N15" s="17" t="inlineStr">
        <is>
          <t>Staat als 'mailen' in Timo's lijst. Niets verstuurd gevonden in info@.</t>
        </is>
      </c>
      <c r="O15" s="17" t="inlineStr">
        <is>
          <t>Voetbal, fitness, running, tennis, zaalsport</t>
        </is>
      </c>
      <c r="P15" s="17" t="inlineStr">
        <is>
          <t>Misterstraat 11, 7101 EN</t>
        </is>
      </c>
      <c r="Q15" s="17" t="inlineStr">
        <is>
          <t>Gelderland</t>
        </is>
      </c>
      <c r="R15" s="17" t="inlineStr">
        <is>
          <t>Absolute Teamsport</t>
        </is>
      </c>
      <c r="S15" s="17" t="inlineStr"/>
      <c r="T15" s="17" t="inlineStr">
        <is>
          <t>Timo's lijst: 'mailen'</t>
        </is>
      </c>
      <c r="U15" s="19" t="inlineStr">
        <is>
          <t>https://www.sport2000.nl/nl/vind-een-winkel/details/absolute-teamsport-leugemors-winterswijk/</t>
        </is>
      </c>
    </row>
    <row r="16" ht="36" customHeight="1">
      <c r="A16" s="14" t="n">
        <v>11</v>
      </c>
      <c r="B16" s="15" t="inlineStr">
        <is>
          <t>MAILEN</t>
        </is>
      </c>
      <c r="C16" s="16" t="inlineStr">
        <is>
          <t>Sport 2000 Bart Langedijk Den Helder</t>
        </is>
      </c>
      <c r="D16" s="17" t="inlineStr">
        <is>
          <t>Den Helder</t>
        </is>
      </c>
      <c r="E16" s="14" t="inlineStr">
        <is>
          <t>West</t>
        </is>
      </c>
      <c r="F16" s="18" t="inlineStr">
        <is>
          <t>Mailen</t>
        </is>
      </c>
      <c r="G16" s="17" t="inlineStr">
        <is>
          <t>Nu</t>
        </is>
      </c>
      <c r="H16" s="17" t="inlineStr">
        <is>
          <t>Mailen, aanspreken op Bart</t>
        </is>
      </c>
      <c r="I16" s="17" t="inlineStr">
        <is>
          <t>Bart</t>
        </is>
      </c>
      <c r="J16" s="17" t="inlineStr">
        <is>
          <t>022-3694961</t>
        </is>
      </c>
      <c r="K16" s="19" t="inlineStr">
        <is>
          <t>info@bartlangedijk.nl</t>
        </is>
      </c>
      <c r="L16" s="20" t="n"/>
      <c r="M16" s="21">
        <f>IF(L16="","",TODAY()-L16)</f>
        <v/>
      </c>
      <c r="N16" s="17" t="inlineStr">
        <is>
          <t>Staat als 'mailen' in Timo's lijst, contact Bart. Niets verstuurd gevonden.</t>
        </is>
      </c>
      <c r="O16" s="17" t="inlineStr">
        <is>
          <t>Voetbal, Running, Wandelen, Crossfit, Tennis, Handbal en Zwemmen</t>
        </is>
      </c>
      <c r="P16" s="17" t="inlineStr">
        <is>
          <t>Beatrixstraat 60, 1781 EP</t>
        </is>
      </c>
      <c r="Q16" s="17" t="inlineStr">
        <is>
          <t>Noord-Holland</t>
        </is>
      </c>
      <c r="R16" s="17" t="inlineStr">
        <is>
          <t>Sport 2000</t>
        </is>
      </c>
      <c r="S16" s="17" t="inlineStr"/>
      <c r="T16" s="17" t="inlineStr">
        <is>
          <t>Timo's lijst: 'mailen', contact Bart</t>
        </is>
      </c>
      <c r="U16" s="19" t="inlineStr">
        <is>
          <t>https://www.sport2000.nl/nl/vind-een-winkel/details/sport-2000-bart-langedijk-den-helder/</t>
        </is>
      </c>
    </row>
    <row r="17" ht="36" customHeight="1">
      <c r="A17" s="14" t="n">
        <v>12</v>
      </c>
      <c r="B17" s="15" t="inlineStr">
        <is>
          <t>MAILEN</t>
        </is>
      </c>
      <c r="C17" s="16" t="inlineStr">
        <is>
          <t>Absolute Teamsport Haarlem</t>
        </is>
      </c>
      <c r="D17" s="17" t="inlineStr">
        <is>
          <t>Haarlem</t>
        </is>
      </c>
      <c r="E17" s="14" t="inlineStr">
        <is>
          <t>West</t>
        </is>
      </c>
      <c r="F17" s="18" t="inlineStr">
        <is>
          <t>Mailen</t>
        </is>
      </c>
      <c r="G17" s="17" t="inlineStr">
        <is>
          <t>Nu</t>
        </is>
      </c>
      <c r="H17" s="17" t="inlineStr">
        <is>
          <t>Mailen</t>
        </is>
      </c>
      <c r="I17" s="17" t="inlineStr"/>
      <c r="J17" s="17" t="inlineStr">
        <is>
          <t>023-5511955</t>
        </is>
      </c>
      <c r="K17" s="19" t="inlineStr">
        <is>
          <t>info@absolutetshaarlem.nl</t>
        </is>
      </c>
      <c r="L17" s="20" t="n"/>
      <c r="M17" s="21">
        <f>IF(L17="","",TODAY()-L17)</f>
        <v/>
      </c>
      <c r="N17" s="17" t="inlineStr">
        <is>
          <t>Staat als 'mailen' in Timo's lijst. Niets verstuurd gevonden.</t>
        </is>
      </c>
      <c r="O17" s="17" t="inlineStr">
        <is>
          <t>Voetbal, Casual</t>
        </is>
      </c>
      <c r="P17" s="17" t="inlineStr">
        <is>
          <t>Generaal Cronjéstraat 16, 2021 JH</t>
        </is>
      </c>
      <c r="Q17" s="17" t="inlineStr">
        <is>
          <t>Noord-Holland</t>
        </is>
      </c>
      <c r="R17" s="17" t="inlineStr">
        <is>
          <t>Absolute Teamsport</t>
        </is>
      </c>
      <c r="S17" s="17" t="inlineStr"/>
      <c r="T17" s="17" t="inlineStr">
        <is>
          <t>Timo's lijst: 'mailen'</t>
        </is>
      </c>
      <c r="U17" s="19" t="inlineStr">
        <is>
          <t>https://www.sport2000.nl/nl/vind-een-winkel/details/absolute-teamsport-haarlem/</t>
        </is>
      </c>
    </row>
    <row r="18" ht="36" customHeight="1">
      <c r="A18" s="14" t="n">
        <v>13</v>
      </c>
      <c r="B18" s="15" t="inlineStr">
        <is>
          <t>MAILEN</t>
        </is>
      </c>
      <c r="C18" s="16" t="inlineStr">
        <is>
          <t>Absolute Teamsport Purmerend</t>
        </is>
      </c>
      <c r="D18" s="17" t="inlineStr">
        <is>
          <t>Purmerend</t>
        </is>
      </c>
      <c r="E18" s="14" t="inlineStr">
        <is>
          <t>West</t>
        </is>
      </c>
      <c r="F18" s="18" t="inlineStr">
        <is>
          <t>Mailen</t>
        </is>
      </c>
      <c r="G18" s="17" t="inlineStr">
        <is>
          <t>Nu</t>
        </is>
      </c>
      <c r="H18" s="17" t="inlineStr">
        <is>
          <t>Mailen, Frank benaderen</t>
        </is>
      </c>
      <c r="I18" s="17" t="inlineStr">
        <is>
          <t>Frank</t>
        </is>
      </c>
      <c r="J18" s="17" t="inlineStr">
        <is>
          <t>0299787520</t>
        </is>
      </c>
      <c r="K18" s="19" t="inlineStr">
        <is>
          <t>info@absolutepurmerend.nl</t>
        </is>
      </c>
      <c r="L18" s="20" t="n"/>
      <c r="M18" s="21">
        <f>IF(L18="","",TODAY()-L18)</f>
        <v/>
      </c>
      <c r="N18" s="17" t="inlineStr">
        <is>
          <t>Staat als 'mailen' in Timo's lijst, contact Frank. Niets verstuurd gevonden.</t>
        </is>
      </c>
      <c r="O18" s="17" t="inlineStr">
        <is>
          <t>Voetbal, Clubkleding , Casual en Lifestyle</t>
        </is>
      </c>
      <c r="P18" s="17" t="inlineStr">
        <is>
          <t>Hoogstraat 9-13, 1441 BB</t>
        </is>
      </c>
      <c r="Q18" s="17" t="inlineStr">
        <is>
          <t>Noord-Holland</t>
        </is>
      </c>
      <c r="R18" s="17" t="inlineStr">
        <is>
          <t>Absolute Teamsport</t>
        </is>
      </c>
      <c r="S18" s="17" t="inlineStr"/>
      <c r="T18" s="17" t="inlineStr">
        <is>
          <t>Timo's lijst: 'mailen', contact Frank, 'vrijdag'</t>
        </is>
      </c>
      <c r="U18" s="19" t="inlineStr">
        <is>
          <t>https://www.sport2000.nl/nl/vind-een-winkel/details/absolute-teamsport-purmerend/</t>
        </is>
      </c>
    </row>
    <row r="19" ht="36" customHeight="1">
      <c r="A19" s="14" t="n">
        <v>14</v>
      </c>
      <c r="B19" s="15" t="inlineStr">
        <is>
          <t>WACHTEN</t>
        </is>
      </c>
      <c r="C19" s="16" t="inlineStr">
        <is>
          <t>Sport 2000 Boxmeer</t>
        </is>
      </c>
      <c r="D19" s="17" t="inlineStr">
        <is>
          <t>Boxmeer</t>
        </is>
      </c>
      <c r="E19" s="14" t="inlineStr">
        <is>
          <t>Zuid</t>
        </is>
      </c>
      <c r="F19" s="18" t="inlineStr">
        <is>
          <t>Bellen ons (terugbellen door hen)</t>
        </is>
      </c>
      <c r="G19" s="17" t="inlineStr">
        <is>
          <t>Wacht op hen</t>
        </is>
      </c>
      <c r="H19" s="17" t="inlineStr">
        <is>
          <t>Nabellen als zij niet terugbellen</t>
        </is>
      </c>
      <c r="I19" s="17" t="inlineStr"/>
      <c r="J19" s="17" t="inlineStr">
        <is>
          <t>0485-571661</t>
        </is>
      </c>
      <c r="K19" s="19" t="inlineStr">
        <is>
          <t>info@sport2000boxmeer.nl</t>
        </is>
      </c>
      <c r="L19" s="20" t="n"/>
      <c r="M19" s="21">
        <f>IF(L19="","",TODAY()-L19)</f>
        <v/>
      </c>
      <c r="N19" s="17" t="inlineStr">
        <is>
          <t>Gebeld: inkoper in gesprek, 'Inkoop belt ons'.</t>
        </is>
      </c>
      <c r="O19" s="17" t="inlineStr">
        <is>
          <t>Voetbal, tennis, fitness, hockey, hardlopen, wandelen.</t>
        </is>
      </c>
      <c r="P19" s="17" t="inlineStr">
        <is>
          <t>D'n Entrepot 5, 5831 DE</t>
        </is>
      </c>
      <c r="Q19" s="17" t="inlineStr">
        <is>
          <t>Noord-Brabant</t>
        </is>
      </c>
      <c r="R19" s="17" t="inlineStr">
        <is>
          <t>Sport 2000</t>
        </is>
      </c>
      <c r="S19" s="17" t="inlineStr"/>
      <c r="T19" s="17" t="inlineStr">
        <is>
          <t>Retail-sheet: gebeld, inkoper was in gesprek, 'Inkoop belt ons'</t>
        </is>
      </c>
      <c r="U19" s="19" t="inlineStr">
        <is>
          <t>https://www.sport2000.nl/nl/vind-een-winkel/details/sport-2000-boxmeer/</t>
        </is>
      </c>
    </row>
    <row r="20" ht="36" customHeight="1">
      <c r="A20" s="14" t="n">
        <v>15</v>
      </c>
      <c r="B20" s="15" t="inlineStr">
        <is>
          <t>EERSTE BENADERING</t>
        </is>
      </c>
      <c r="C20" s="16" t="inlineStr">
        <is>
          <t>Sport 2000 Combi-Sport Beilen</t>
        </is>
      </c>
      <c r="D20" s="17" t="inlineStr">
        <is>
          <t>Beilen</t>
        </is>
      </c>
      <c r="E20" s="14" t="inlineStr">
        <is>
          <t>Noord</t>
        </is>
      </c>
      <c r="F20" s="18" t="inlineStr">
        <is>
          <t>Nog niet benaderd</t>
        </is>
      </c>
      <c r="G20" s="17" t="inlineStr">
        <is>
          <t>Nu</t>
        </is>
      </c>
      <c r="H20" s="17" t="inlineStr">
        <is>
          <t>Bellen, daarna mailen</t>
        </is>
      </c>
      <c r="I20" s="17" t="inlineStr"/>
      <c r="J20" s="17" t="inlineStr">
        <is>
          <t>0593-525466</t>
        </is>
      </c>
      <c r="K20" s="19" t="inlineStr">
        <is>
          <t>info@combisport.nl</t>
        </is>
      </c>
      <c r="L20" s="20" t="n"/>
      <c r="M20" s="21">
        <f>IF(L20="","",TODAY()-L20)</f>
        <v/>
      </c>
      <c r="N20" s="17" t="inlineStr">
        <is>
          <t>Nog geen contact gevonden (sheet en mailbox info@).</t>
        </is>
      </c>
      <c r="O20" s="17" t="inlineStr">
        <is>
          <t>Voetbal, Indoor, Running, Fitness, Zwemmen</t>
        </is>
      </c>
      <c r="P20" s="17" t="inlineStr">
        <is>
          <t>Brinkstraat 33, 9411 KK</t>
        </is>
      </c>
      <c r="Q20" s="17" t="inlineStr">
        <is>
          <t>Drenthe</t>
        </is>
      </c>
      <c r="R20" s="17" t="inlineStr">
        <is>
          <t>Sport 2000</t>
        </is>
      </c>
      <c r="S20" s="17" t="inlineStr"/>
      <c r="T20" s="17" t="inlineStr"/>
      <c r="U20" s="19" t="inlineStr">
        <is>
          <t>https://www.sport2000.nl/nl/vind-een-winkel/details/sport-2000-combi-sport-beilen/</t>
        </is>
      </c>
    </row>
    <row r="21" ht="36" customHeight="1">
      <c r="A21" s="14" t="n">
        <v>16</v>
      </c>
      <c r="B21" s="15" t="inlineStr">
        <is>
          <t>EERSTE BENADERING</t>
        </is>
      </c>
      <c r="C21" s="16" t="inlineStr">
        <is>
          <t>Sport 2000 Sporthuis A.P. Van Der Feer</t>
        </is>
      </c>
      <c r="D21" s="17" t="inlineStr">
        <is>
          <t>Bolsward</t>
        </is>
      </c>
      <c r="E21" s="14" t="inlineStr">
        <is>
          <t>Noord</t>
        </is>
      </c>
      <c r="F21" s="18" t="inlineStr">
        <is>
          <t>Nog niet benaderd</t>
        </is>
      </c>
      <c r="G21" s="17" t="inlineStr">
        <is>
          <t>Nu</t>
        </is>
      </c>
      <c r="H21" s="17" t="inlineStr">
        <is>
          <t>Bellen, daarna mailen</t>
        </is>
      </c>
      <c r="I21" s="17" t="inlineStr"/>
      <c r="J21" s="17" t="inlineStr">
        <is>
          <t>0515-572397</t>
        </is>
      </c>
      <c r="K21" s="19" t="inlineStr">
        <is>
          <t>feersport@planet.nl</t>
        </is>
      </c>
      <c r="L21" s="20" t="n"/>
      <c r="M21" s="21">
        <f>IF(L21="","",TODAY()-L21)</f>
        <v/>
      </c>
      <c r="N21" s="17" t="inlineStr">
        <is>
          <t>Nog geen contact gevonden (sheet en mailbox info@).</t>
        </is>
      </c>
      <c r="O21" s="17" t="inlineStr">
        <is>
          <t>Wintersport, wielrennen, voetbal, tennis, sportprijzen.</t>
        </is>
      </c>
      <c r="P21" s="17" t="inlineStr">
        <is>
          <t>Dijkstraat 7-11, 8701 KB</t>
        </is>
      </c>
      <c r="Q21" s="17" t="inlineStr">
        <is>
          <t>Friesland</t>
        </is>
      </c>
      <c r="R21" s="17" t="inlineStr">
        <is>
          <t>Sport 2000</t>
        </is>
      </c>
      <c r="S21" s="17" t="inlineStr"/>
      <c r="T21" s="17" t="inlineStr"/>
      <c r="U21" s="19" t="inlineStr">
        <is>
          <t>https://www.sport2000.nl/nl/vind-een-winkel/details/sport-2000-sporthuis-ap-van-der-feer/</t>
        </is>
      </c>
    </row>
    <row r="22" ht="36" customHeight="1">
      <c r="A22" s="14" t="n">
        <v>17</v>
      </c>
      <c r="B22" s="15" t="inlineStr">
        <is>
          <t>EERSTE BENADERING</t>
        </is>
      </c>
      <c r="C22" s="16" t="inlineStr">
        <is>
          <t>Sport 2000 De Jonge Sport Stadskanaal</t>
        </is>
      </c>
      <c r="D22" s="17" t="inlineStr">
        <is>
          <t>Stadskanaal</t>
        </is>
      </c>
      <c r="E22" s="14" t="inlineStr">
        <is>
          <t>Noord</t>
        </is>
      </c>
      <c r="F22" s="18" t="inlineStr">
        <is>
          <t>Nog niet benaderd</t>
        </is>
      </c>
      <c r="G22" s="17" t="inlineStr">
        <is>
          <t>Nu</t>
        </is>
      </c>
      <c r="H22" s="17" t="inlineStr">
        <is>
          <t>Bellen, daarna mailen</t>
        </is>
      </c>
      <c r="I22" s="17" t="inlineStr"/>
      <c r="J22" s="17" t="inlineStr">
        <is>
          <t>0599-618024</t>
        </is>
      </c>
      <c r="K22" s="19" t="inlineStr">
        <is>
          <t>dejongesport@xs4all.nl</t>
        </is>
      </c>
      <c r="L22" s="20" t="n"/>
      <c r="M22" s="21">
        <f>IF(L22="","",TODAY()-L22)</f>
        <v/>
      </c>
      <c r="N22" s="17" t="inlineStr">
        <is>
          <t>Nog geen contact gevonden (sheet en mailbox info@).</t>
        </is>
      </c>
      <c r="O22" s="17" t="inlineStr">
        <is>
          <t>Voetbal, hardlopen, tennis, badmode, winterpsort</t>
        </is>
      </c>
      <c r="P22" s="17" t="inlineStr">
        <is>
          <t>Europalaan 40, 9501 CW</t>
        </is>
      </c>
      <c r="Q22" s="17" t="inlineStr">
        <is>
          <t>Groningen</t>
        </is>
      </c>
      <c r="R22" s="17" t="inlineStr">
        <is>
          <t>Sport 2000</t>
        </is>
      </c>
      <c r="S22" s="17" t="inlineStr">
        <is>
          <t>Blauw gemarkeerd in Timo's lijst (betekenis nog te bevestigen)</t>
        </is>
      </c>
      <c r="T22" s="17" t="inlineStr"/>
      <c r="U22" s="19" t="inlineStr">
        <is>
          <t>https://www.sport2000.nl/nl/vind-een-winkel/details/sport-2000-de-jonge-sport-stadskanaal/</t>
        </is>
      </c>
    </row>
    <row r="23" ht="36" customHeight="1">
      <c r="A23" s="14" t="n">
        <v>18</v>
      </c>
      <c r="B23" s="15" t="inlineStr">
        <is>
          <t>EERSTE BENADERING</t>
        </is>
      </c>
      <c r="C23" s="16" t="inlineStr">
        <is>
          <t>Sport 2000 Sporthuis Winsum</t>
        </is>
      </c>
      <c r="D23" s="17" t="inlineStr">
        <is>
          <t>Winsum</t>
        </is>
      </c>
      <c r="E23" s="14" t="inlineStr">
        <is>
          <t>Noord</t>
        </is>
      </c>
      <c r="F23" s="18" t="inlineStr">
        <is>
          <t>Nog niet benaderd</t>
        </is>
      </c>
      <c r="G23" s="17" t="inlineStr">
        <is>
          <t>Nu</t>
        </is>
      </c>
      <c r="H23" s="17" t="inlineStr">
        <is>
          <t>Bellen, daarna mailen</t>
        </is>
      </c>
      <c r="I23" s="17" t="inlineStr"/>
      <c r="J23" s="17" t="inlineStr">
        <is>
          <t>0595-445199</t>
        </is>
      </c>
      <c r="K23" s="19" t="inlineStr">
        <is>
          <t>info@sporthuiswinsum.nl</t>
        </is>
      </c>
      <c r="L23" s="20" t="n"/>
      <c r="M23" s="21">
        <f>IF(L23="","",TODAY()-L23)</f>
        <v/>
      </c>
      <c r="N23" s="17" t="inlineStr">
        <is>
          <t>Nog geen contact gevonden (sheet en mailbox info@).</t>
        </is>
      </c>
      <c r="O23" s="17" t="inlineStr">
        <is>
          <t>Breed sportassortiment (indicatief; niet gepubliceerd per winkel)</t>
        </is>
      </c>
      <c r="P23" s="17" t="inlineStr">
        <is>
          <t>Het Aanleg 6, 9951 SJ</t>
        </is>
      </c>
      <c r="Q23" s="17" t="inlineStr">
        <is>
          <t>Groningen</t>
        </is>
      </c>
      <c r="R23" s="17" t="inlineStr">
        <is>
          <t>Sport 2000</t>
        </is>
      </c>
      <c r="S23" s="17" t="inlineStr"/>
      <c r="T23" s="17" t="inlineStr"/>
      <c r="U23" s="19" t="inlineStr">
        <is>
          <t>https://www.sport2000.nl/nl/vind-een-winkel/details/sport-2000-sporthuis-winsum/</t>
        </is>
      </c>
    </row>
    <row r="24" ht="36" customHeight="1">
      <c r="A24" s="14" t="n">
        <v>19</v>
      </c>
      <c r="B24" s="15" t="inlineStr">
        <is>
          <t>EERSTE BENADERING</t>
        </is>
      </c>
      <c r="C24" s="16" t="inlineStr">
        <is>
          <t>Sport 2000 Mensink Denekamp</t>
        </is>
      </c>
      <c r="D24" s="17" t="inlineStr">
        <is>
          <t>Denekamp</t>
        </is>
      </c>
      <c r="E24" s="14" t="inlineStr">
        <is>
          <t>Oost</t>
        </is>
      </c>
      <c r="F24" s="18" t="inlineStr">
        <is>
          <t>Nog niet benaderd</t>
        </is>
      </c>
      <c r="G24" s="17" t="inlineStr">
        <is>
          <t>Nu</t>
        </is>
      </c>
      <c r="H24" s="17" t="inlineStr">
        <is>
          <t>Bellen, daarna mailen</t>
        </is>
      </c>
      <c r="I24" s="17" t="inlineStr"/>
      <c r="J24" s="17" t="inlineStr">
        <is>
          <t>0541-351388</t>
        </is>
      </c>
      <c r="K24" s="19" t="inlineStr">
        <is>
          <t>info@mensinkschoenen.nl</t>
        </is>
      </c>
      <c r="L24" s="20" t="n"/>
      <c r="M24" s="21">
        <f>IF(L24="","",TODAY()-L24)</f>
        <v/>
      </c>
      <c r="N24" s="17" t="inlineStr">
        <is>
          <t>Nog geen contact gevonden (sheet en mailbox info@).</t>
        </is>
      </c>
      <c r="O24" s="17" t="inlineStr">
        <is>
          <t>Voetbal, Running, Indoor, Tennis, Training, Wandel, Teamwear</t>
        </is>
      </c>
      <c r="P24" s="17" t="inlineStr">
        <is>
          <t>Oldenzaalsestraat 12, 7591 GM</t>
        </is>
      </c>
      <c r="Q24" s="17" t="inlineStr">
        <is>
          <t>Overijssel</t>
        </is>
      </c>
      <c r="R24" s="17" t="inlineStr">
        <is>
          <t>Sport 2000</t>
        </is>
      </c>
      <c r="S24" s="17" t="inlineStr"/>
      <c r="T24" s="17" t="inlineStr"/>
      <c r="U24" s="19" t="inlineStr">
        <is>
          <t>https://www.sport2000.nl/nl/vind-een-winkel/details/sport-2000-mensink-denekamp/</t>
        </is>
      </c>
    </row>
    <row r="25" ht="36" customHeight="1">
      <c r="A25" s="14" t="n">
        <v>20</v>
      </c>
      <c r="B25" s="15" t="inlineStr">
        <is>
          <t>EERSTE BENADERING</t>
        </is>
      </c>
      <c r="C25" s="16" t="inlineStr">
        <is>
          <t>Sport 2000 Buitink Deventer</t>
        </is>
      </c>
      <c r="D25" s="17" t="inlineStr">
        <is>
          <t>Deventer</t>
        </is>
      </c>
      <c r="E25" s="14" t="inlineStr">
        <is>
          <t>Oost</t>
        </is>
      </c>
      <c r="F25" s="18" t="inlineStr">
        <is>
          <t>Nog niet benaderd</t>
        </is>
      </c>
      <c r="G25" s="17" t="inlineStr">
        <is>
          <t>Nu</t>
        </is>
      </c>
      <c r="H25" s="17" t="inlineStr">
        <is>
          <t>Bellen, daarna mailen</t>
        </is>
      </c>
      <c r="I25" s="17" t="inlineStr"/>
      <c r="J25" s="17" t="inlineStr">
        <is>
          <t>0570-650700</t>
        </is>
      </c>
      <c r="K25" s="19" t="inlineStr">
        <is>
          <t>deventer@buitink-sport.nl</t>
        </is>
      </c>
      <c r="L25" s="20" t="n"/>
      <c r="M25" s="21">
        <f>IF(L25="","",TODAY()-L25)</f>
        <v/>
      </c>
      <c r="N25" s="17" t="inlineStr">
        <is>
          <t>Nog geen contact gevonden (sheet en mailbox info@).</t>
        </is>
      </c>
      <c r="O25" s="17" t="inlineStr">
        <is>
          <t>Tennis, Voetbal, Hockey, Harlopen, Fitness, Zaalsporten, Zwemmen, Schaatsen, Skeeleren, Teamkleding</t>
        </is>
      </c>
      <c r="P25" s="17" t="inlineStr">
        <is>
          <t>Flora 243-245, 7422 LP</t>
        </is>
      </c>
      <c r="Q25" s="17" t="inlineStr">
        <is>
          <t>Overijssel</t>
        </is>
      </c>
      <c r="R25" s="17" t="inlineStr">
        <is>
          <t>Sport 2000</t>
        </is>
      </c>
      <c r="S25" s="17" t="inlineStr">
        <is>
          <t>Zusterwinkel Buitink Twello sluit volgens lokaal nieuws (voorsternieuws.nl); Deventer gaat door.</t>
        </is>
      </c>
      <c r="T25" s="17" t="inlineStr"/>
      <c r="U25" s="19" t="inlineStr">
        <is>
          <t>https://www.sport2000.nl/nl/vind-een-winkel/details/sport-2000-buitink-deventer/</t>
        </is>
      </c>
    </row>
    <row r="26" ht="36" customHeight="1">
      <c r="A26" s="14" t="n">
        <v>21</v>
      </c>
      <c r="B26" s="15" t="inlineStr">
        <is>
          <t>EERSTE BENADERING</t>
        </is>
      </c>
      <c r="C26" s="16" t="inlineStr">
        <is>
          <t>Sport 2000 Claus Doetinchem</t>
        </is>
      </c>
      <c r="D26" s="17" t="inlineStr">
        <is>
          <t>Doetinchem</t>
        </is>
      </c>
      <c r="E26" s="14" t="inlineStr">
        <is>
          <t>Oost</t>
        </is>
      </c>
      <c r="F26" s="18" t="inlineStr">
        <is>
          <t>Nog niet benaderd</t>
        </is>
      </c>
      <c r="G26" s="17" t="inlineStr">
        <is>
          <t>Nu</t>
        </is>
      </c>
      <c r="H26" s="17" t="inlineStr">
        <is>
          <t>Bellen, daarna mailen</t>
        </is>
      </c>
      <c r="I26" s="17" t="inlineStr"/>
      <c r="J26" s="17" t="inlineStr">
        <is>
          <t>0314-323139</t>
        </is>
      </c>
      <c r="K26" s="19" t="inlineStr">
        <is>
          <t>klantenservice@claussport.nl</t>
        </is>
      </c>
      <c r="L26" s="20" t="n"/>
      <c r="M26" s="21">
        <f>IF(L26="","",TODAY()-L26)</f>
        <v/>
      </c>
      <c r="N26" s="17" t="inlineStr">
        <is>
          <t>Nog geen contact gevonden (sheet en mailbox info@).</t>
        </is>
      </c>
      <c r="O26" s="17" t="inlineStr">
        <is>
          <t>Hockey, Volleybal, Hardlopen, Voetballen, Wandel</t>
        </is>
      </c>
      <c r="P26" s="17" t="inlineStr">
        <is>
          <t>IJsselkade 10-12, 7001 AP</t>
        </is>
      </c>
      <c r="Q26" s="17" t="inlineStr">
        <is>
          <t>Gelderland</t>
        </is>
      </c>
      <c r="R26" s="17" t="inlineStr">
        <is>
          <t>Sport 2000</t>
        </is>
      </c>
      <c r="S26" s="17" t="inlineStr"/>
      <c r="T26" s="17" t="inlineStr"/>
      <c r="U26" s="19" t="inlineStr">
        <is>
          <t>https://www.sport2000.nl/nl/vind-een-winkel/details/sport-2000-claus-doetinchem/</t>
        </is>
      </c>
    </row>
    <row r="27" ht="36" customHeight="1">
      <c r="A27" s="14" t="n">
        <v>22</v>
      </c>
      <c r="B27" s="15" t="inlineStr">
        <is>
          <t>EERSTE BENADERING</t>
        </is>
      </c>
      <c r="C27" s="16" t="inlineStr">
        <is>
          <t>Sport 2000 Snelders Elst</t>
        </is>
      </c>
      <c r="D27" s="17" t="inlineStr">
        <is>
          <t>Elst</t>
        </is>
      </c>
      <c r="E27" s="14" t="inlineStr">
        <is>
          <t>Oost</t>
        </is>
      </c>
      <c r="F27" s="18" t="inlineStr">
        <is>
          <t>Nog niet benaderd</t>
        </is>
      </c>
      <c r="G27" s="17" t="inlineStr">
        <is>
          <t>Nu</t>
        </is>
      </c>
      <c r="H27" s="17" t="inlineStr">
        <is>
          <t>Bellen, daarna mailen</t>
        </is>
      </c>
      <c r="I27" s="17" t="inlineStr"/>
      <c r="J27" s="17" t="inlineStr">
        <is>
          <t>0481-374255</t>
        </is>
      </c>
      <c r="K27" s="19" t="inlineStr">
        <is>
          <t>info@snelderssport.nl</t>
        </is>
      </c>
      <c r="L27" s="20" t="n"/>
      <c r="M27" s="21">
        <f>IF(L27="","",TODAY()-L27)</f>
        <v/>
      </c>
      <c r="N27" s="17" t="inlineStr">
        <is>
          <t>Nog geen contact gevonden (sheet en mailbox info@).</t>
        </is>
      </c>
      <c r="O27" s="17" t="inlineStr">
        <is>
          <t>Voetbal, tennis, hockey, running, fitness, bedrukking teamkleding.</t>
        </is>
      </c>
      <c r="P27" s="17" t="inlineStr">
        <is>
          <t>Dorpsstraat 26, 6661 EK</t>
        </is>
      </c>
      <c r="Q27" s="17" t="inlineStr">
        <is>
          <t>Gelderland</t>
        </is>
      </c>
      <c r="R27" s="17" t="inlineStr">
        <is>
          <t>Sport 2000</t>
        </is>
      </c>
      <c r="S27" s="17" t="inlineStr"/>
      <c r="T27" s="17" t="inlineStr"/>
      <c r="U27" s="19" t="inlineStr">
        <is>
          <t>https://www.sport2000.nl/nl/vind-een-winkel/details/sport-2000-snelders-elst/</t>
        </is>
      </c>
    </row>
    <row r="28" ht="36" customHeight="1">
      <c r="A28" s="14" t="n">
        <v>23</v>
      </c>
      <c r="B28" s="15" t="inlineStr">
        <is>
          <t>EERSTE BENADERING</t>
        </is>
      </c>
      <c r="C28" s="16" t="inlineStr">
        <is>
          <t>Sport 2000 Haverhals Badhoevedorp</t>
        </is>
      </c>
      <c r="D28" s="17" t="inlineStr">
        <is>
          <t>Badhoevedorp</t>
        </is>
      </c>
      <c r="E28" s="14" t="inlineStr">
        <is>
          <t>West</t>
        </is>
      </c>
      <c r="F28" s="18" t="inlineStr">
        <is>
          <t>Nog niet benaderd</t>
        </is>
      </c>
      <c r="G28" s="17" t="inlineStr">
        <is>
          <t>Nu</t>
        </is>
      </c>
      <c r="H28" s="17" t="inlineStr">
        <is>
          <t>Bellen, daarna mailen</t>
        </is>
      </c>
      <c r="I28" s="17" t="inlineStr"/>
      <c r="J28" s="17" t="inlineStr">
        <is>
          <t>020-6594705</t>
        </is>
      </c>
      <c r="K28" s="19" t="inlineStr">
        <is>
          <t>info@sport2000haverhals.nl</t>
        </is>
      </c>
      <c r="L28" s="20" t="n"/>
      <c r="M28" s="21">
        <f>IF(L28="","",TODAY()-L28)</f>
        <v/>
      </c>
      <c r="N28" s="17" t="inlineStr">
        <is>
          <t>Nog geen contact gevonden (sheet en mailbox info@).</t>
        </is>
      </c>
      <c r="O28" s="17" t="inlineStr">
        <is>
          <t>hockey-, voetbal- en tennis</t>
        </is>
      </c>
      <c r="P28" s="17" t="inlineStr">
        <is>
          <t>Pa Verkuijllaan 33-35, 1171 EA</t>
        </is>
      </c>
      <c r="Q28" s="17" t="inlineStr">
        <is>
          <t>Noord-Holland</t>
        </is>
      </c>
      <c r="R28" s="17" t="inlineStr">
        <is>
          <t>Sport 2000</t>
        </is>
      </c>
      <c r="S28" s="17" t="inlineStr"/>
      <c r="T28" s="17" t="inlineStr"/>
      <c r="U28" s="19" t="inlineStr">
        <is>
          <t>https://www.sport2000.nl/nl/vind-een-winkel/details/sport-2000-haverhals-badhoevedorp/</t>
        </is>
      </c>
    </row>
    <row r="29" ht="36" customHeight="1">
      <c r="A29" s="14" t="n">
        <v>24</v>
      </c>
      <c r="B29" s="15" t="inlineStr">
        <is>
          <t>EERSTE BENADERING</t>
        </is>
      </c>
      <c r="C29" s="16" t="inlineStr">
        <is>
          <t>Sport 2000 Enkhuizen</t>
        </is>
      </c>
      <c r="D29" s="17" t="inlineStr">
        <is>
          <t>Enkhuizen</t>
        </is>
      </c>
      <c r="E29" s="14" t="inlineStr">
        <is>
          <t>West</t>
        </is>
      </c>
      <c r="F29" s="18" t="inlineStr">
        <is>
          <t>Nog niet benaderd</t>
        </is>
      </c>
      <c r="G29" s="17" t="inlineStr">
        <is>
          <t>Nu</t>
        </is>
      </c>
      <c r="H29" s="17" t="inlineStr">
        <is>
          <t>Bellen, daarna mailen</t>
        </is>
      </c>
      <c r="I29" s="17" t="inlineStr"/>
      <c r="J29" s="17" t="inlineStr">
        <is>
          <t>0228-325309</t>
        </is>
      </c>
      <c r="K29" s="19" t="inlineStr">
        <is>
          <t>info@sport2000enkhuizen.nl</t>
        </is>
      </c>
      <c r="L29" s="20" t="n"/>
      <c r="M29" s="21">
        <f>IF(L29="","",TODAY()-L29)</f>
        <v/>
      </c>
      <c r="N29" s="17" t="inlineStr">
        <is>
          <t>Nog geen contact gevonden (sheet en mailbox info@).</t>
        </is>
      </c>
      <c r="O29" s="17" t="inlineStr">
        <is>
          <t>Running, Wandelen, Casual, Lifestyle, Service</t>
        </is>
      </c>
      <c r="P29" s="17" t="inlineStr">
        <is>
          <t>Westerstraat 126, 1601 AM</t>
        </is>
      </c>
      <c r="Q29" s="17" t="inlineStr">
        <is>
          <t>Noord-Holland</t>
        </is>
      </c>
      <c r="R29" s="17" t="inlineStr">
        <is>
          <t>Sport 2000</t>
        </is>
      </c>
      <c r="S29" s="17" t="inlineStr"/>
      <c r="T29" s="17" t="inlineStr"/>
      <c r="U29" s="19" t="inlineStr">
        <is>
          <t>https://www.sport2000.nl/nl/vind-een-winkel/details/sport-2000-enkhuizen/</t>
        </is>
      </c>
    </row>
    <row r="30" ht="36" customHeight="1">
      <c r="A30" s="14" t="n">
        <v>25</v>
      </c>
      <c r="B30" s="15" t="inlineStr">
        <is>
          <t>EERSTE BENADERING</t>
        </is>
      </c>
      <c r="C30" s="16" t="inlineStr">
        <is>
          <t>Sport 2000 Hilversum</t>
        </is>
      </c>
      <c r="D30" s="17" t="inlineStr">
        <is>
          <t>Hilversum</t>
        </is>
      </c>
      <c r="E30" s="14" t="inlineStr">
        <is>
          <t>West</t>
        </is>
      </c>
      <c r="F30" s="18" t="inlineStr">
        <is>
          <t>Nog niet benaderd</t>
        </is>
      </c>
      <c r="G30" s="17" t="inlineStr">
        <is>
          <t>Nu</t>
        </is>
      </c>
      <c r="H30" s="17" t="inlineStr">
        <is>
          <t>Bellen, daarna mailen</t>
        </is>
      </c>
      <c r="I30" s="17" t="inlineStr"/>
      <c r="J30" s="17" t="inlineStr">
        <is>
          <t>035-6833399</t>
        </is>
      </c>
      <c r="K30" s="19" t="inlineStr">
        <is>
          <t>info@sport2000hilversum.nl</t>
        </is>
      </c>
      <c r="L30" s="20" t="n"/>
      <c r="M30" s="21">
        <f>IF(L30="","",TODAY()-L30)</f>
        <v/>
      </c>
      <c r="N30" s="17" t="inlineStr">
        <is>
          <t>Nog geen contact gevonden (sheet en mailbox info@).</t>
        </is>
      </c>
      <c r="O30" s="17" t="inlineStr">
        <is>
          <t>Voetbal, tennis, hockey, hardlopen fitness</t>
        </is>
      </c>
      <c r="P30" s="17" t="inlineStr">
        <is>
          <t>Kerkstraat 31, 1211 CK</t>
        </is>
      </c>
      <c r="Q30" s="17" t="inlineStr">
        <is>
          <t>Noord-Holland</t>
        </is>
      </c>
      <c r="R30" s="17" t="inlineStr">
        <is>
          <t>Sport 2000</t>
        </is>
      </c>
      <c r="S30" s="17" t="inlineStr"/>
      <c r="T30" s="17" t="inlineStr"/>
      <c r="U30" s="19" t="inlineStr">
        <is>
          <t>https://www.sport2000.nl/nl/vind-een-winkel/details/sport-2000-hilversum/</t>
        </is>
      </c>
    </row>
    <row r="31" ht="36" customHeight="1">
      <c r="A31" s="14" t="n">
        <v>26</v>
      </c>
      <c r="B31" s="15" t="inlineStr">
        <is>
          <t>EERSTE BENADERING</t>
        </is>
      </c>
      <c r="C31" s="16" t="inlineStr">
        <is>
          <t>Sport 2000 Soccer Center Ralph Sports Nieuwegein</t>
        </is>
      </c>
      <c r="D31" s="17" t="inlineStr">
        <is>
          <t>Nieuwegein</t>
        </is>
      </c>
      <c r="E31" s="14" t="inlineStr">
        <is>
          <t>West</t>
        </is>
      </c>
      <c r="F31" s="18" t="inlineStr">
        <is>
          <t>Nog niet benaderd</t>
        </is>
      </c>
      <c r="G31" s="17" t="inlineStr">
        <is>
          <t>Nu</t>
        </is>
      </c>
      <c r="H31" s="17" t="inlineStr">
        <is>
          <t>Bellen, daarna mailen</t>
        </is>
      </c>
      <c r="I31" s="17" t="inlineStr"/>
      <c r="J31" s="17" t="inlineStr">
        <is>
          <t>030-6022177</t>
        </is>
      </c>
      <c r="K31" s="19" t="inlineStr">
        <is>
          <t>info@ralphsports.nl</t>
        </is>
      </c>
      <c r="L31" s="20" t="n"/>
      <c r="M31" s="21">
        <f>IF(L31="","",TODAY()-L31)</f>
        <v/>
      </c>
      <c r="N31" s="17" t="inlineStr">
        <is>
          <t>Nog geen contact gevonden (sheet en mailbox info@).</t>
        </is>
      </c>
      <c r="O31" s="17" t="inlineStr">
        <is>
          <t>Voetbal, casual</t>
        </is>
      </c>
      <c r="P31" s="17" t="inlineStr">
        <is>
          <t>'t Sluisje 10, 3438 AH</t>
        </is>
      </c>
      <c r="Q31" s="17" t="inlineStr">
        <is>
          <t>Utrecht</t>
        </is>
      </c>
      <c r="R31" s="17" t="inlineStr">
        <is>
          <t>Soccer Center</t>
        </is>
      </c>
      <c r="S31" s="17" t="inlineStr"/>
      <c r="T31" s="17" t="inlineStr"/>
      <c r="U31" s="19" t="inlineStr">
        <is>
          <t>https://www.sport2000.nl/nl/vind-een-winkel/details/sport-2000-soccer-center-ralph-sports-nieuwegein/</t>
        </is>
      </c>
    </row>
    <row r="32" ht="36" customHeight="1">
      <c r="A32" s="14" t="n">
        <v>27</v>
      </c>
      <c r="B32" s="15" t="inlineStr">
        <is>
          <t>EERSTE BENADERING</t>
        </is>
      </c>
      <c r="C32" s="16" t="inlineStr">
        <is>
          <t>Sport 2000 De Lange Noordwijk</t>
        </is>
      </c>
      <c r="D32" s="17" t="inlineStr">
        <is>
          <t>Noordwijk</t>
        </is>
      </c>
      <c r="E32" s="14" t="inlineStr">
        <is>
          <t>West</t>
        </is>
      </c>
      <c r="F32" s="18" t="inlineStr">
        <is>
          <t>Nog niet benaderd</t>
        </is>
      </c>
      <c r="G32" s="17" t="inlineStr">
        <is>
          <t>Nu</t>
        </is>
      </c>
      <c r="H32" s="17" t="inlineStr">
        <is>
          <t>Bellen, daarna mailen</t>
        </is>
      </c>
      <c r="I32" s="17" t="inlineStr"/>
      <c r="J32" s="17" t="inlineStr">
        <is>
          <t>071-3612927</t>
        </is>
      </c>
      <c r="K32" s="19" t="inlineStr">
        <is>
          <t>info@delangesport.nl</t>
        </is>
      </c>
      <c r="L32" s="20" t="n"/>
      <c r="M32" s="21">
        <f>IF(L32="","",TODAY()-L32)</f>
        <v/>
      </c>
      <c r="N32" s="17" t="inlineStr">
        <is>
          <t>Nog geen contact gevonden (sheet en mailbox info@).</t>
        </is>
      </c>
      <c r="O32" s="17" t="inlineStr">
        <is>
          <t>Voetbal, tennis, dans</t>
        </is>
      </c>
      <c r="P32" s="17" t="inlineStr">
        <is>
          <t>Molenstraat 16, 2201 KZ</t>
        </is>
      </c>
      <c r="Q32" s="17" t="inlineStr">
        <is>
          <t>Zuid-Holland</t>
        </is>
      </c>
      <c r="R32" s="17" t="inlineStr">
        <is>
          <t>Sport 2000</t>
        </is>
      </c>
      <c r="S32" s="17" t="inlineStr"/>
      <c r="T32" s="17" t="inlineStr"/>
      <c r="U32" s="19" t="inlineStr">
        <is>
          <t>https://www.sport2000.nl/nl/vind-een-winkel/details/sport-2000-de-lange-noordwijk/</t>
        </is>
      </c>
    </row>
    <row r="33" ht="36" customHeight="1">
      <c r="A33" s="14" t="n">
        <v>28</v>
      </c>
      <c r="B33" s="15" t="inlineStr">
        <is>
          <t>EERSTE BENADERING</t>
        </is>
      </c>
      <c r="C33" s="16" t="inlineStr">
        <is>
          <t>Sport 2000 Purmerend</t>
        </is>
      </c>
      <c r="D33" s="17" t="inlineStr">
        <is>
          <t>Purmerend</t>
        </is>
      </c>
      <c r="E33" s="14" t="inlineStr">
        <is>
          <t>West</t>
        </is>
      </c>
      <c r="F33" s="18" t="inlineStr">
        <is>
          <t>Nog niet benaderd</t>
        </is>
      </c>
      <c r="G33" s="17" t="inlineStr">
        <is>
          <t>Nu</t>
        </is>
      </c>
      <c r="H33" s="17" t="inlineStr">
        <is>
          <t>Bellen, daarna mailen</t>
        </is>
      </c>
      <c r="I33" s="17" t="inlineStr"/>
      <c r="J33" s="17" t="inlineStr">
        <is>
          <t>0299413630</t>
        </is>
      </c>
      <c r="K33" s="19" t="inlineStr">
        <is>
          <t>info@sport2000purmerend.nl</t>
        </is>
      </c>
      <c r="L33" s="20" t="n"/>
      <c r="M33" s="21">
        <f>IF(L33="","",TODAY()-L33)</f>
        <v/>
      </c>
      <c r="N33" s="17" t="inlineStr">
        <is>
          <t>Nog geen contact gevonden (sheet en mailbox info@).</t>
        </is>
      </c>
      <c r="O33" s="17" t="inlineStr">
        <is>
          <t>Breed sportassortiment (indicatief; niet gepubliceerd per winkel)</t>
        </is>
      </c>
      <c r="P33" s="17" t="inlineStr">
        <is>
          <t>Dubbele Buurt 23-27, 1441 CT</t>
        </is>
      </c>
      <c r="Q33" s="17" t="inlineStr">
        <is>
          <t>Noord-Holland</t>
        </is>
      </c>
      <c r="R33" s="17" t="inlineStr">
        <is>
          <t>Sport 2000</t>
        </is>
      </c>
      <c r="S33" s="17" t="inlineStr"/>
      <c r="T33" s="17" t="inlineStr"/>
      <c r="U33" s="19" t="inlineStr">
        <is>
          <t>https://www.sport2000.nl/nl/vind-een-winkel/details/sport-2000-purmerend/</t>
        </is>
      </c>
    </row>
    <row r="34" ht="36" customHeight="1">
      <c r="A34" s="14" t="n">
        <v>29</v>
      </c>
      <c r="B34" s="15" t="inlineStr">
        <is>
          <t>EERSTE BENADERING</t>
        </is>
      </c>
      <c r="C34" s="16" t="inlineStr">
        <is>
          <t>Absolute Teamsport Rotterdam</t>
        </is>
      </c>
      <c r="D34" s="17" t="inlineStr">
        <is>
          <t>Rotterdam</t>
        </is>
      </c>
      <c r="E34" s="14" t="inlineStr">
        <is>
          <t>West</t>
        </is>
      </c>
      <c r="F34" s="18" t="inlineStr">
        <is>
          <t>Nog niet benaderd</t>
        </is>
      </c>
      <c r="G34" s="17" t="inlineStr">
        <is>
          <t>Nu</t>
        </is>
      </c>
      <c r="H34" s="17" t="inlineStr">
        <is>
          <t>Bellen, daarna mailen</t>
        </is>
      </c>
      <c r="I34" s="17" t="inlineStr"/>
      <c r="J34" s="17" t="inlineStr">
        <is>
          <t>010-2135594</t>
        </is>
      </c>
      <c r="K34" s="19" t="inlineStr">
        <is>
          <t>info@sport2000rotterdam.nl</t>
        </is>
      </c>
      <c r="L34" s="20" t="n"/>
      <c r="M34" s="21">
        <f>IF(L34="","",TODAY()-L34)</f>
        <v/>
      </c>
      <c r="N34" s="17" t="inlineStr">
        <is>
          <t>Nog geen contact gevonden (sheet en mailbox info@).</t>
        </is>
      </c>
      <c r="O34" s="17" t="inlineStr">
        <is>
          <t>Voetbal, Casual, Hardlopen</t>
        </is>
      </c>
      <c r="P34" s="17" t="inlineStr">
        <is>
          <t>Hoogstraat 181, 3011 PM</t>
        </is>
      </c>
      <c r="Q34" s="17" t="inlineStr">
        <is>
          <t>Zuid-Holland</t>
        </is>
      </c>
      <c r="R34" s="17" t="inlineStr">
        <is>
          <t>Absolute Teamsport</t>
        </is>
      </c>
      <c r="S34" s="17" t="inlineStr"/>
      <c r="T34" s="17" t="inlineStr"/>
      <c r="U34" s="19" t="inlineStr">
        <is>
          <t>https://www.sport2000.nl/nl/vind-een-winkel/details/absolute-teamsport-rotterdam/</t>
        </is>
      </c>
    </row>
    <row r="35" ht="36" customHeight="1">
      <c r="A35" s="14" t="n">
        <v>30</v>
      </c>
      <c r="B35" s="15" t="inlineStr">
        <is>
          <t>EERSTE BENADERING</t>
        </is>
      </c>
      <c r="C35" s="16" t="inlineStr">
        <is>
          <t>Sport 2000 Soccer Center Paul Pessel Utrecht</t>
        </is>
      </c>
      <c r="D35" s="17" t="inlineStr">
        <is>
          <t>Utrecht</t>
        </is>
      </c>
      <c r="E35" s="14" t="inlineStr">
        <is>
          <t>West</t>
        </is>
      </c>
      <c r="F35" s="18" t="inlineStr">
        <is>
          <t>Nog niet benaderd</t>
        </is>
      </c>
      <c r="G35" s="17" t="inlineStr">
        <is>
          <t>Nu</t>
        </is>
      </c>
      <c r="H35" s="17" t="inlineStr">
        <is>
          <t>Bellen, daarna mailen</t>
        </is>
      </c>
      <c r="I35" s="17" t="inlineStr"/>
      <c r="J35" s="17" t="inlineStr">
        <is>
          <t>030-2940300</t>
        </is>
      </c>
      <c r="K35" s="19" t="inlineStr">
        <is>
          <t>info@paulpesselsport.nl</t>
        </is>
      </c>
      <c r="L35" s="20" t="n"/>
      <c r="M35" s="21">
        <f>IF(L35="","",TODAY()-L35)</f>
        <v/>
      </c>
      <c r="N35" s="17" t="inlineStr">
        <is>
          <t>Nog geen contact gevonden (sheet en mailbox info@).</t>
        </is>
      </c>
      <c r="O35" s="17" t="inlineStr">
        <is>
          <t>Voetbal, casual</t>
        </is>
      </c>
      <c r="P35" s="17" t="inlineStr">
        <is>
          <t>Croeselaan 183, 3521 BM</t>
        </is>
      </c>
      <c r="Q35" s="17" t="inlineStr">
        <is>
          <t>Utrecht</t>
        </is>
      </c>
      <c r="R35" s="17" t="inlineStr">
        <is>
          <t>Soccer Center</t>
        </is>
      </c>
      <c r="S35" s="17" t="inlineStr"/>
      <c r="T35" s="17" t="inlineStr"/>
      <c r="U35" s="19" t="inlineStr">
        <is>
          <t>https://www.sport2000.nl/nl/vind-een-winkel/details/sport-2000-soccer-center-paul-pessel-utrecht/</t>
        </is>
      </c>
    </row>
    <row r="36" ht="36" customHeight="1">
      <c r="A36" s="14" t="n">
        <v>31</v>
      </c>
      <c r="B36" s="15" t="inlineStr">
        <is>
          <t>EERSTE BENADERING</t>
        </is>
      </c>
      <c r="C36" s="16" t="inlineStr">
        <is>
          <t>Sport 2000 Zeist</t>
        </is>
      </c>
      <c r="D36" s="17" t="inlineStr">
        <is>
          <t>Zeist</t>
        </is>
      </c>
      <c r="E36" s="14" t="inlineStr">
        <is>
          <t>West</t>
        </is>
      </c>
      <c r="F36" s="18" t="inlineStr">
        <is>
          <t>Nog niet benaderd</t>
        </is>
      </c>
      <c r="G36" s="17" t="inlineStr">
        <is>
          <t>Eerst intern</t>
        </is>
      </c>
      <c r="H36" s="17" t="inlineStr">
        <is>
          <t>Eerst vraag laten creëren door Anouk, dan benaderen</t>
        </is>
      </c>
      <c r="I36" s="17" t="inlineStr">
        <is>
          <t>Anouk (intern)</t>
        </is>
      </c>
      <c r="J36" s="17" t="inlineStr">
        <is>
          <t>030-6933687</t>
        </is>
      </c>
      <c r="K36" s="19" t="inlineStr">
        <is>
          <t>info@sport2000zeist.nl</t>
        </is>
      </c>
      <c r="L36" s="20" t="n"/>
      <c r="M36" s="21">
        <f>IF(L36="","",TODAY()-L36)</f>
        <v/>
      </c>
      <c r="N36" s="17" t="inlineStr">
        <is>
          <t>Nog geen contact gevonden (sheet en mailbox info@).</t>
        </is>
      </c>
      <c r="O36" s="17" t="inlineStr">
        <is>
          <t>Breed sportassortiment (indicatief; niet gepubliceerd per winkel)</t>
        </is>
      </c>
      <c r="P36" s="17" t="inlineStr">
        <is>
          <t>Voorheuvel 29, 3701 JA</t>
        </is>
      </c>
      <c r="Q36" s="17" t="inlineStr">
        <is>
          <t>Utrecht</t>
        </is>
      </c>
      <c r="R36" s="17" t="inlineStr">
        <is>
          <t>Sport 2000</t>
        </is>
      </c>
      <c r="S36" s="17" t="inlineStr"/>
      <c r="T36" s="17" t="inlineStr">
        <is>
          <t>Retail-sheet: 'EERST ANOUK VRAAG LATEN CREEEREN'</t>
        </is>
      </c>
      <c r="U36" s="19" t="inlineStr">
        <is>
          <t>https://www.sport2000.nl/nl/vind-een-winkel/details/sport-2000-zeist/</t>
        </is>
      </c>
    </row>
    <row r="37" ht="36" customHeight="1">
      <c r="A37" s="14" t="n">
        <v>32</v>
      </c>
      <c r="B37" s="15" t="inlineStr">
        <is>
          <t>EERSTE BENADERING</t>
        </is>
      </c>
      <c r="C37" s="16" t="inlineStr">
        <is>
          <t>Sport 2000 Brabant Sports Boxtel</t>
        </is>
      </c>
      <c r="D37" s="17" t="inlineStr">
        <is>
          <t>Boxtel</t>
        </is>
      </c>
      <c r="E37" s="14" t="inlineStr">
        <is>
          <t>Zuid</t>
        </is>
      </c>
      <c r="F37" s="18" t="inlineStr">
        <is>
          <t>Nog niet benaderd</t>
        </is>
      </c>
      <c r="G37" s="17" t="inlineStr">
        <is>
          <t>Nu</t>
        </is>
      </c>
      <c r="H37" s="17" t="inlineStr">
        <is>
          <t>Bellen, daarna mailen</t>
        </is>
      </c>
      <c r="I37" s="17" t="inlineStr"/>
      <c r="J37" s="17" t="inlineStr">
        <is>
          <t>0411-671040</t>
        </is>
      </c>
      <c r="K37" s="19" t="inlineStr">
        <is>
          <t>info@bsboxtel.nl</t>
        </is>
      </c>
      <c r="L37" s="20" t="n"/>
      <c r="M37" s="21">
        <f>IF(L37="","",TODAY()-L37)</f>
        <v/>
      </c>
      <c r="N37" s="17" t="inlineStr">
        <is>
          <t>Nog geen contact gevonden (sheet en mailbox info@).</t>
        </is>
      </c>
      <c r="O37" s="17" t="inlineStr">
        <is>
          <t>Voetbal, tennis, hockey</t>
        </is>
      </c>
      <c r="P37" s="17" t="inlineStr">
        <is>
          <t>Clarissenstraat 2 A, 5281 AZ</t>
        </is>
      </c>
      <c r="Q37" s="17" t="inlineStr">
        <is>
          <t>Noord-Brabant</t>
        </is>
      </c>
      <c r="R37" s="17" t="inlineStr">
        <is>
          <t>Sport 2000</t>
        </is>
      </c>
      <c r="S37" s="17" t="inlineStr"/>
      <c r="T37" s="17" t="inlineStr"/>
      <c r="U37" s="19" t="inlineStr">
        <is>
          <t>https://www.sport2000.nl/nl/vind-een-winkel/details/sport-2000-brabant-sports-boxtel/</t>
        </is>
      </c>
    </row>
    <row r="38" ht="36" customHeight="1">
      <c r="A38" s="14" t="n">
        <v>33</v>
      </c>
      <c r="B38" s="15" t="inlineStr">
        <is>
          <t>EERSTE BENADERING</t>
        </is>
      </c>
      <c r="C38" s="16" t="inlineStr">
        <is>
          <t>Sport 2000 Fairsports Oirschot</t>
        </is>
      </c>
      <c r="D38" s="17" t="inlineStr">
        <is>
          <t>Oirschot</t>
        </is>
      </c>
      <c r="E38" s="14" t="inlineStr">
        <is>
          <t>Zuid</t>
        </is>
      </c>
      <c r="F38" s="18" t="inlineStr">
        <is>
          <t>Nog niet benaderd</t>
        </is>
      </c>
      <c r="G38" s="17" t="inlineStr">
        <is>
          <t>Nu</t>
        </is>
      </c>
      <c r="H38" s="17" t="inlineStr">
        <is>
          <t>Bellen, daarna mailen</t>
        </is>
      </c>
      <c r="I38" s="17" t="inlineStr"/>
      <c r="J38" s="17" t="inlineStr">
        <is>
          <t>0499-573468</t>
        </is>
      </c>
      <c r="K38" s="19" t="inlineStr">
        <is>
          <t>info@fairsports.nl</t>
        </is>
      </c>
      <c r="L38" s="20" t="n"/>
      <c r="M38" s="21">
        <f>IF(L38="","",TODAY()-L38)</f>
        <v/>
      </c>
      <c r="N38" s="17" t="inlineStr">
        <is>
          <t>Nog geen contact gevonden (sheet en mailbox info@).</t>
        </is>
      </c>
      <c r="O38" s="17" t="inlineStr">
        <is>
          <t>Voetbal, hockey, tennis, volleybal, korfbal, running, wandel, ,fitness, sportprijzen, textieldrukwerk, scheidsrechters</t>
        </is>
      </c>
      <c r="P38" s="17" t="inlineStr">
        <is>
          <t>Rijkesluisstraat 17, 5688 EC</t>
        </is>
      </c>
      <c r="Q38" s="17" t="inlineStr">
        <is>
          <t>Noord-Brabant</t>
        </is>
      </c>
      <c r="R38" s="17" t="inlineStr">
        <is>
          <t>Sport 2000</t>
        </is>
      </c>
      <c r="S38" s="17" t="inlineStr"/>
      <c r="T38" s="17" t="inlineStr"/>
      <c r="U38" s="19" t="inlineStr">
        <is>
          <t>https://www.sport2000.nl/nl/vind-een-winkel/details/sport-2000-fairsports-oirschot/</t>
        </is>
      </c>
    </row>
    <row r="39" ht="36" customHeight="1">
      <c r="A39" s="14" t="n">
        <v>34</v>
      </c>
      <c r="B39" s="15" t="inlineStr">
        <is>
          <t>EERSTE BENADERING</t>
        </is>
      </c>
      <c r="C39" s="16" t="inlineStr">
        <is>
          <t>Sport 2000 De Bruijn Panningen</t>
        </is>
      </c>
      <c r="D39" s="17" t="inlineStr">
        <is>
          <t>Panningen</t>
        </is>
      </c>
      <c r="E39" s="14" t="inlineStr">
        <is>
          <t>Zuid</t>
        </is>
      </c>
      <c r="F39" s="18" t="inlineStr">
        <is>
          <t>Nog niet benaderd</t>
        </is>
      </c>
      <c r="G39" s="17" t="inlineStr">
        <is>
          <t>Nu</t>
        </is>
      </c>
      <c r="H39" s="17" t="inlineStr">
        <is>
          <t>Bellen, daarna mailen</t>
        </is>
      </c>
      <c r="I39" s="17" t="inlineStr"/>
      <c r="J39" s="17" t="inlineStr">
        <is>
          <t>077-3071676</t>
        </is>
      </c>
      <c r="K39" s="19" t="inlineStr">
        <is>
          <t>info@sport2000debruijn.nl</t>
        </is>
      </c>
      <c r="L39" s="20" t="n"/>
      <c r="M39" s="21">
        <f>IF(L39="","",TODAY()-L39)</f>
        <v/>
      </c>
      <c r="N39" s="17" t="inlineStr">
        <is>
          <t>Nog geen contact gevonden (sheet en mailbox info@).</t>
        </is>
      </c>
      <c r="O39" s="17" t="inlineStr">
        <is>
          <t>Voetbal, Tennis, Hardlopen, Wandelen, Badmode, Fitness Training, Handbal en Volleybal</t>
        </is>
      </c>
      <c r="P39" s="17" t="inlineStr">
        <is>
          <t>Ruijsstraat 23, 5981 CL</t>
        </is>
      </c>
      <c r="Q39" s="17" t="inlineStr">
        <is>
          <t>Limburg</t>
        </is>
      </c>
      <c r="R39" s="17" t="inlineStr">
        <is>
          <t>Sport 2000</t>
        </is>
      </c>
      <c r="S39" s="17" t="inlineStr"/>
      <c r="T39" s="17" t="inlineStr"/>
      <c r="U39" s="19" t="inlineStr">
        <is>
          <t>https://www.sport2000.nl/nl/vind-een-winkel/details/sport-2000-de-bruijn-panningen/</t>
        </is>
      </c>
    </row>
    <row r="40" ht="36" customHeight="1">
      <c r="A40" s="14" t="n">
        <v>35</v>
      </c>
      <c r="B40" s="15" t="inlineStr">
        <is>
          <t>EERSTE BENADERING</t>
        </is>
      </c>
      <c r="C40" s="16" t="inlineStr">
        <is>
          <t>Sport 2000 Soccer Center Posno Sport Roermond</t>
        </is>
      </c>
      <c r="D40" s="17" t="inlineStr">
        <is>
          <t>Roermond</t>
        </is>
      </c>
      <c r="E40" s="14" t="inlineStr">
        <is>
          <t>Zuid</t>
        </is>
      </c>
      <c r="F40" s="18" t="inlineStr">
        <is>
          <t>Nog niet benaderd</t>
        </is>
      </c>
      <c r="G40" s="17" t="inlineStr">
        <is>
          <t>Nu</t>
        </is>
      </c>
      <c r="H40" s="17" t="inlineStr">
        <is>
          <t>Bellen, daarna mailen</t>
        </is>
      </c>
      <c r="I40" s="17" t="inlineStr"/>
      <c r="J40" s="17" t="inlineStr">
        <is>
          <t>0475-311592</t>
        </is>
      </c>
      <c r="K40" s="19" t="inlineStr">
        <is>
          <t>desportzaak@home.nl</t>
        </is>
      </c>
      <c r="L40" s="20" t="n"/>
      <c r="M40" s="21">
        <f>IF(L40="","",TODAY()-L40)</f>
        <v/>
      </c>
      <c r="N40" s="17" t="inlineStr">
        <is>
          <t>Nog geen contact gevonden (sheet en mailbox info@).</t>
        </is>
      </c>
      <c r="O40" s="17" t="inlineStr">
        <is>
          <t>Voetbal, casual</t>
        </is>
      </c>
      <c r="P40" s="17" t="inlineStr">
        <is>
          <t>Kruisherenstraat 15, 6041 HK</t>
        </is>
      </c>
      <c r="Q40" s="17" t="inlineStr">
        <is>
          <t>Limburg</t>
        </is>
      </c>
      <c r="R40" s="17" t="inlineStr">
        <is>
          <t>Soccer Center</t>
        </is>
      </c>
      <c r="S40" s="17" t="inlineStr"/>
      <c r="T40" s="17" t="inlineStr"/>
      <c r="U40" s="19" t="inlineStr">
        <is>
          <t>https://www.sport2000.nl/nl/vind-een-winkel/details/sport-2000-soccer-center-posno-sport-roermond/</t>
        </is>
      </c>
    </row>
    <row r="41" ht="36" customHeight="1">
      <c r="A41" s="14" t="n">
        <v>36</v>
      </c>
      <c r="B41" s="15" t="inlineStr">
        <is>
          <t>EERSTE BENADERING</t>
        </is>
      </c>
      <c r="C41" s="16" t="inlineStr">
        <is>
          <t>Sport 2000 Colada Weert</t>
        </is>
      </c>
      <c r="D41" s="17" t="inlineStr">
        <is>
          <t>Weert</t>
        </is>
      </c>
      <c r="E41" s="14" t="inlineStr">
        <is>
          <t>Zuid</t>
        </is>
      </c>
      <c r="F41" s="18" t="inlineStr">
        <is>
          <t>Nog niet benaderd</t>
        </is>
      </c>
      <c r="G41" s="17" t="inlineStr">
        <is>
          <t>Nu</t>
        </is>
      </c>
      <c r="H41" s="17" t="inlineStr">
        <is>
          <t>Bellen, daarna mailen</t>
        </is>
      </c>
      <c r="I41" s="17" t="inlineStr"/>
      <c r="J41" s="17" t="inlineStr">
        <is>
          <t>0495-532603</t>
        </is>
      </c>
      <c r="K41" s="19" t="inlineStr">
        <is>
          <t>info@colada.nl</t>
        </is>
      </c>
      <c r="L41" s="20" t="n"/>
      <c r="M41" s="21">
        <f>IF(L41="","",TODAY()-L41)</f>
        <v/>
      </c>
      <c r="N41" s="17" t="inlineStr">
        <is>
          <t>Nog geen contact gevonden (sheet en mailbox info@).</t>
        </is>
      </c>
      <c r="O41" s="17" t="inlineStr">
        <is>
          <t>Wintersport, Hardlopen, Voetbal, Badmode, Schoenen</t>
        </is>
      </c>
      <c r="P41" s="17" t="inlineStr">
        <is>
          <t>Hoogstraat 25, 6001 ET</t>
        </is>
      </c>
      <c r="Q41" s="17" t="inlineStr">
        <is>
          <t>Limburg</t>
        </is>
      </c>
      <c r="R41" s="17" t="inlineStr">
        <is>
          <t>Sport 2000</t>
        </is>
      </c>
      <c r="S41" s="17" t="inlineStr">
        <is>
          <t>Blauw gemarkeerd in Timo's lijst (betekenis nog te bevestigen)</t>
        </is>
      </c>
      <c r="T41" s="17" t="inlineStr"/>
      <c r="U41" s="19" t="inlineStr">
        <is>
          <t>https://www.sport2000.nl/nl/vind-een-winkel/details/sport-2000-colada-weert/</t>
        </is>
      </c>
    </row>
    <row r="42" ht="36" customHeight="1">
      <c r="A42" s="14" t="n">
        <v>37</v>
      </c>
      <c r="B42" s="15" t="inlineStr">
        <is>
          <t>LATER</t>
        </is>
      </c>
      <c r="C42" s="16" t="inlineStr">
        <is>
          <t>Sport 2000 Sportpaleis Almere</t>
        </is>
      </c>
      <c r="D42" s="17" t="inlineStr">
        <is>
          <t>Almere</t>
        </is>
      </c>
      <c r="E42" s="14" t="inlineStr">
        <is>
          <t>Midden</t>
        </is>
      </c>
      <c r="F42" s="18" t="inlineStr">
        <is>
          <t>Nu geen interesse, later opnieuw benaderen</t>
        </is>
      </c>
      <c r="G42" s="17" t="inlineStr">
        <is>
          <t>Later</t>
        </is>
      </c>
      <c r="H42" s="17" t="inlineStr">
        <is>
          <t>Nu niets, later opnieuw proberen</t>
        </is>
      </c>
      <c r="I42" s="17" t="inlineStr">
        <is>
          <t>Donovan Weide; donovan@sportpaleis.nl</t>
        </is>
      </c>
      <c r="J42" s="17" t="inlineStr">
        <is>
          <t>036-5344611</t>
        </is>
      </c>
      <c r="K42" s="19" t="inlineStr">
        <is>
          <t>info@sportpaleis.nl</t>
        </is>
      </c>
      <c r="L42" s="20" t="n">
        <v>46234</v>
      </c>
      <c r="M42" s="21">
        <f>IF(L42="","",TODAY()-L42)</f>
        <v/>
      </c>
      <c r="N42" s="17" t="inlineStr">
        <is>
          <t>Donovan 30-07-2026: al 5 merken gripsokken, kiest bewust geen nieuw merk.</t>
        </is>
      </c>
      <c r="O42" s="17" t="inlineStr">
        <is>
          <t>Voetbal, hockey, hardlopen, fitness, zwemmen, skaten</t>
        </is>
      </c>
      <c r="P42" s="17" t="inlineStr">
        <is>
          <t>De Corridor 6, 1315 VG</t>
        </is>
      </c>
      <c r="Q42" s="17" t="inlineStr">
        <is>
          <t>Flevoland</t>
        </is>
      </c>
      <c r="R42" s="17" t="inlineStr">
        <is>
          <t>Sport 2000</t>
        </is>
      </c>
      <c r="S42" s="17" t="inlineStr"/>
      <c r="T42" s="17" t="inlineStr">
        <is>
          <t>Mailbox info@ (27-10-2026): gesproken met Gillian; mail 21-07 en 28-07-2026; 30-07-2026 Donovan Weide: sinds 2 maanden al een nieuwe gripsok, 5 merken in het assortiment, kiest bewust geen nieuw merk; Tigo bedankte 31-07-2026</t>
        </is>
      </c>
      <c r="U42" s="19" t="inlineStr">
        <is>
          <t>https://www.sport2000.nl/nl/vind-een-winkel/details/sport-2000-sportpaleis-almere/</t>
        </is>
      </c>
    </row>
    <row r="43" ht="36" customHeight="1">
      <c r="A43" s="14" t="n">
        <v>38</v>
      </c>
      <c r="B43" s="15" t="inlineStr">
        <is>
          <t>LATER</t>
        </is>
      </c>
      <c r="C43" s="16" t="inlineStr">
        <is>
          <t>Sport 2000 Castricum</t>
        </is>
      </c>
      <c r="D43" s="17" t="inlineStr">
        <is>
          <t>Castricum</t>
        </is>
      </c>
      <c r="E43" s="14" t="inlineStr">
        <is>
          <t>West</t>
        </is>
      </c>
      <c r="F43" s="18" t="inlineStr">
        <is>
          <t>Nu geen interesse, later opnieuw benaderen</t>
        </is>
      </c>
      <c r="G43" s="17" t="inlineStr">
        <is>
          <t>Later</t>
        </is>
      </c>
      <c r="H43" s="17" t="inlineStr">
        <is>
          <t>Nu niets, later opnieuw proberen</t>
        </is>
      </c>
      <c r="I43" s="17" t="inlineStr"/>
      <c r="J43" s="17" t="inlineStr">
        <is>
          <t>0251-657284</t>
        </is>
      </c>
      <c r="K43" s="19" t="inlineStr">
        <is>
          <t>dekkersport.2000@casema.nl</t>
        </is>
      </c>
      <c r="L43" s="20" t="n"/>
      <c r="M43" s="21">
        <f>IF(L43="","",TODAY()-L43)</f>
        <v/>
      </c>
      <c r="N43" s="17" t="inlineStr">
        <is>
          <t>Sheet: 'laat het voor nu zitten'.</t>
        </is>
      </c>
      <c r="O43" s="17" t="inlineStr">
        <is>
          <t>Tennis, fitness, hardlopen, hockey, voetbal, badkleding</t>
        </is>
      </c>
      <c r="P43" s="17" t="inlineStr">
        <is>
          <t>Burgemeester Mooijstraat 16, 1901 ET</t>
        </is>
      </c>
      <c r="Q43" s="17" t="inlineStr">
        <is>
          <t>Noord-Holland</t>
        </is>
      </c>
      <c r="R43" s="17" t="inlineStr">
        <is>
          <t>Sport 2000</t>
        </is>
      </c>
      <c r="S43" s="17" t="inlineStr"/>
      <c r="T43" s="17" t="inlineStr">
        <is>
          <t>Retail-sheet: gemarkeerd 'Later', 'LAAT HET VOOR NU ZITTEN'</t>
        </is>
      </c>
      <c r="U43" s="19" t="inlineStr">
        <is>
          <t>https://www.sport2000.nl/nl/vind-een-winkel/details/sport-2000-castricum/</t>
        </is>
      </c>
    </row>
    <row r="44" ht="36" customHeight="1">
      <c r="A44" s="14" t="n">
        <v>39</v>
      </c>
      <c r="B44" s="15" t="inlineStr">
        <is>
          <t>LATER</t>
        </is>
      </c>
      <c r="C44" s="16" t="inlineStr">
        <is>
          <t>Sport 2000 Bouchier Hoorn</t>
        </is>
      </c>
      <c r="D44" s="17" t="inlineStr">
        <is>
          <t>Hoorn</t>
        </is>
      </c>
      <c r="E44" s="14" t="inlineStr">
        <is>
          <t>West</t>
        </is>
      </c>
      <c r="F44" s="18" t="inlineStr">
        <is>
          <t>Nu geen interesse, later opnieuw benaderen</t>
        </is>
      </c>
      <c r="G44" s="17" t="inlineStr">
        <is>
          <t>Voorjaar</t>
        </is>
      </c>
      <c r="H44" s="17" t="inlineStr">
        <is>
          <t>In het voorjaar Leonie bellen</t>
        </is>
      </c>
      <c r="I44" s="17" t="inlineStr">
        <is>
          <t>Leonie; stef@bouchiersport2000.nl (uit Timo's lijst)</t>
        </is>
      </c>
      <c r="J44" s="17" t="inlineStr">
        <is>
          <t>0229215661</t>
        </is>
      </c>
      <c r="K44" s="19" t="inlineStr">
        <is>
          <t>marketing@bouchiersport2000.nl</t>
        </is>
      </c>
      <c r="L44" s="20" t="n"/>
      <c r="M44" s="21">
        <f>IF(L44="","",TODAY()-L44)</f>
        <v/>
      </c>
      <c r="N44" s="17" t="inlineStr">
        <is>
          <t>Contact Leonie: 'in het voorjaar contact opnemen'.</t>
        </is>
      </c>
      <c r="O44" s="17" t="inlineStr">
        <is>
          <t>Wintersport, Wandelen, Running, Wandelschoenen</t>
        </is>
      </c>
      <c r="P44" s="17" t="inlineStr">
        <is>
          <t>Dr. C.J.K. van Aalstweg 7C, 1625 NV</t>
        </is>
      </c>
      <c r="Q44" s="17" t="inlineStr">
        <is>
          <t>Noord-Holland</t>
        </is>
      </c>
      <c r="R44" s="17" t="inlineStr">
        <is>
          <t>Sport 2000</t>
        </is>
      </c>
      <c r="S44" s="17" t="inlineStr">
        <is>
          <t>Blauw gemarkeerd in Timo's lijst (betekenis nog te bevestigen)</t>
        </is>
      </c>
      <c r="T44" s="17" t="inlineStr">
        <is>
          <t>Retail-sheet: gemarkeerd 'Gemaild / Gebeld' en 'Later'; contact Leonie, 'in het voorjaar contact opnemen'. Timo's lijst: 'mailen'</t>
        </is>
      </c>
      <c r="U44" s="19" t="inlineStr">
        <is>
          <t>https://www.sport2000.nl/nl/vind-een-winkel/details/sport-2000-bouchier-hoorn/</t>
        </is>
      </c>
    </row>
    <row r="45" ht="36" customHeight="1">
      <c r="A45" s="14" t="n">
        <v>40</v>
      </c>
      <c r="B45" s="15" t="inlineStr">
        <is>
          <t>LATER</t>
        </is>
      </c>
      <c r="C45" s="16" t="inlineStr">
        <is>
          <t>Sport 2000 Leiderdorp</t>
        </is>
      </c>
      <c r="D45" s="17" t="inlineStr">
        <is>
          <t>Leiderdorp</t>
        </is>
      </c>
      <c r="E45" s="14" t="inlineStr">
        <is>
          <t>West</t>
        </is>
      </c>
      <c r="F45" s="18" t="inlineStr">
        <is>
          <t>Nu geen interesse, later opnieuw benaderen</t>
        </is>
      </c>
      <c r="G45" s="17" t="inlineStr">
        <is>
          <t>Later</t>
        </is>
      </c>
      <c r="H45" s="17" t="inlineStr">
        <is>
          <t>Nu niets, later opnieuw proberen</t>
        </is>
      </c>
      <c r="I45" s="17" t="inlineStr">
        <is>
          <t>Paul (antwoordde); Owen (aangeschreven)</t>
        </is>
      </c>
      <c r="J45" s="17" t="inlineStr">
        <is>
          <t>071-5411459</t>
        </is>
      </c>
      <c r="K45" s="19" t="inlineStr">
        <is>
          <t>info@sport2000leiderdorp.nl</t>
        </is>
      </c>
      <c r="L45" s="20" t="n">
        <v>46298</v>
      </c>
      <c r="M45" s="21">
        <f>IF(L45="","",TODAY()-L45)</f>
        <v/>
      </c>
      <c r="N45" s="17" t="inlineStr">
        <is>
          <t>Paul 02-10-2026: 'op dit moment geen interesse'. Eerder gemaild 28-06 en 28-07-2025.</t>
        </is>
      </c>
      <c r="O45" s="17" t="inlineStr">
        <is>
          <t>Voetbal, tennis, fitness, zwemmen, hockey, hardlopen</t>
        </is>
      </c>
      <c r="P45" s="17" t="inlineStr">
        <is>
          <t>Winkelhof 83, 2353 TZ</t>
        </is>
      </c>
      <c r="Q45" s="17" t="inlineStr">
        <is>
          <t>Zuid-Holland</t>
        </is>
      </c>
      <c r="R45" s="17" t="inlineStr">
        <is>
          <t>Sport 2000</t>
        </is>
      </c>
      <c r="S45" s="17" t="inlineStr"/>
      <c r="T45" s="17" t="inlineStr">
        <is>
          <t>Mailbox info@ (27-10-2026): mail 28-06-2025 en reminder 28-07-2025; gebeld eind sept 2026, mail 02-10-2026 (Tigo); 02-10-2026 Paul: 'op dit moment geen interesse'; Tigo bedankte 03-10-2026</t>
        </is>
      </c>
      <c r="U45" s="19" t="inlineStr">
        <is>
          <t>https://www.sport2000.nl/nl/vind-een-winkel/details/sport-2000-leiderdorp/</t>
        </is>
      </c>
    </row>
    <row r="46" ht="36" customHeight="1">
      <c r="A46" s="14" t="n">
        <v>41</v>
      </c>
      <c r="B46" s="15" t="inlineStr">
        <is>
          <t>LATER</t>
        </is>
      </c>
      <c r="C46" s="16" t="inlineStr">
        <is>
          <t>Sport 2000 Zaandam</t>
        </is>
      </c>
      <c r="D46" s="17" t="inlineStr">
        <is>
          <t>Zaandam</t>
        </is>
      </c>
      <c r="E46" s="14" t="inlineStr">
        <is>
          <t>West</t>
        </is>
      </c>
      <c r="F46" s="18" t="inlineStr">
        <is>
          <t>Nu geen interesse, later opnieuw benaderen</t>
        </is>
      </c>
      <c r="G46" s="17" t="inlineStr">
        <is>
          <t>Later</t>
        </is>
      </c>
      <c r="H46" s="17" t="inlineStr">
        <is>
          <t>Nu niets, later opnieuw proberen</t>
        </is>
      </c>
      <c r="I46" s="17" t="inlineStr"/>
      <c r="J46" s="17" t="inlineStr">
        <is>
          <t>075-6169693</t>
        </is>
      </c>
      <c r="K46" s="19" t="inlineStr">
        <is>
          <t>info@sport2000zaandam.nl</t>
        </is>
      </c>
      <c r="L46" s="20" t="n"/>
      <c r="M46" s="21">
        <f>IF(L46="","",TODAY()-L46)</f>
        <v/>
      </c>
      <c r="N46" s="17" t="inlineStr">
        <is>
          <t>Sheet: nu geen interesse, later opnieuw.</t>
        </is>
      </c>
      <c r="O46" s="17" t="inlineStr">
        <is>
          <t>Breed sportassortiment (indicatief; niet gepubliceerd per winkel)</t>
        </is>
      </c>
      <c r="P46" s="17" t="inlineStr">
        <is>
          <t>Gedempte Gracht 38, 1506 CG</t>
        </is>
      </c>
      <c r="Q46" s="17" t="inlineStr">
        <is>
          <t>Noord-Holland</t>
        </is>
      </c>
      <c r="R46" s="17" t="inlineStr">
        <is>
          <t>Sport 2000</t>
        </is>
      </c>
      <c r="S46" s="17" t="inlineStr"/>
      <c r="T46" s="17" t="inlineStr">
        <is>
          <t>Retail-sheet: gemarkeerd 'Nu geen interesse, later opnieuw benaderen'</t>
        </is>
      </c>
      <c r="U46" s="19" t="inlineStr">
        <is>
          <t>https://www.sport2000.nl/nl/vind-een-winkel/details/sport-2000-zaandam/</t>
        </is>
      </c>
    </row>
    <row r="47" ht="36" customHeight="1">
      <c r="A47" s="14" t="n">
        <v>42</v>
      </c>
      <c r="B47" s="15" t="inlineStr">
        <is>
          <t>LATER</t>
        </is>
      </c>
      <c r="C47" s="16" t="inlineStr">
        <is>
          <t>Sport 2000 Sporthuis Olympia Veldhoven</t>
        </is>
      </c>
      <c r="D47" s="17" t="inlineStr">
        <is>
          <t>Veldhoven</t>
        </is>
      </c>
      <c r="E47" s="14" t="inlineStr">
        <is>
          <t>Zuid</t>
        </is>
      </c>
      <c r="F47" s="18" t="inlineStr">
        <is>
          <t>Nu geen interesse, later opnieuw benaderen</t>
        </is>
      </c>
      <c r="G47" s="17" t="inlineStr">
        <is>
          <t>Januari</t>
        </is>
      </c>
      <c r="H47" s="17" t="inlineStr">
        <is>
          <t>In januari Rob bellen of mailen</t>
        </is>
      </c>
      <c r="I47" s="17" t="inlineStr">
        <is>
          <t>Rob Verhagen; rob@sporthuisolympia.nl</t>
        </is>
      </c>
      <c r="J47" s="17" t="inlineStr">
        <is>
          <t>040-2533437</t>
        </is>
      </c>
      <c r="K47" s="19" t="inlineStr">
        <is>
          <t>info@sporthuisolympia.nl</t>
        </is>
      </c>
      <c r="L47" s="20" t="n">
        <v>46288</v>
      </c>
      <c r="M47" s="21">
        <f>IF(L47="","",TODAY()-L47)</f>
        <v/>
      </c>
      <c r="N47" s="17" t="inlineStr">
        <is>
          <t>Rob 23-09: nu geen interesse (geen katoen, wacht op kleurregels), 'neem in januari contact op'.</t>
        </is>
      </c>
      <c r="O47" s="17" t="inlineStr">
        <is>
          <t>Tennis, ski, hardlopen, hockey, voetbal, wintersport</t>
        </is>
      </c>
      <c r="P47" s="17" t="inlineStr">
        <is>
          <t>Dorpstraat 163, 5504 HE</t>
        </is>
      </c>
      <c r="Q47" s="17" t="inlineStr">
        <is>
          <t>Noord-Brabant</t>
        </is>
      </c>
      <c r="R47" s="17" t="inlineStr">
        <is>
          <t>Sport 2000</t>
        </is>
      </c>
      <c r="S47" s="17" t="inlineStr">
        <is>
          <t>Blauw gemarkeerd in Timo's lijst (betekenis nog te bevestigen)</t>
        </is>
      </c>
      <c r="T47" s="17" t="inlineStr">
        <is>
          <t>Mailbox info@ (27-10-2026): mail 18-09-2026; 23-09-2026 Rob Verhagen: geen interesse nu (geen katoen in sportkleding, wacht op kleurregels scheidsrechters), 'na de winterstop, neem in januari contact op'; Tigo reageerde 23-09</t>
        </is>
      </c>
      <c r="U47" s="19" t="inlineStr">
        <is>
          <t>https://www.sport2000.nl/nl/vind-een-winkel/details/sport-2000-sporthuis-olympia-veldhoven/</t>
        </is>
      </c>
    </row>
    <row r="48" ht="36" customHeight="1">
      <c r="A48" s="14" t="n">
        <v>43</v>
      </c>
      <c r="B48" s="15" t="inlineStr">
        <is>
          <t>KLANT</t>
        </is>
      </c>
      <c r="C48" s="16" t="inlineStr">
        <is>
          <t>Sport 2000 Naaldwijk</t>
        </is>
      </c>
      <c r="D48" s="17" t="inlineStr">
        <is>
          <t>Naaldwijk</t>
        </is>
      </c>
      <c r="E48" s="14" t="inlineStr">
        <is>
          <t>West</t>
        </is>
      </c>
      <c r="F48" s="18" t="inlineStr">
        <is>
          <t>Klant (actief)</t>
        </is>
      </c>
      <c r="G48" s="17" t="inlineStr">
        <is>
          <t>-</t>
        </is>
      </c>
      <c r="H48" s="17" t="inlineStr">
        <is>
          <t>Relatie onderhouden, herbestelling</t>
        </is>
      </c>
      <c r="I48" s="17" t="inlineStr"/>
      <c r="J48" s="17" t="inlineStr">
        <is>
          <t>0174-670656</t>
        </is>
      </c>
      <c r="K48" s="19" t="inlineStr">
        <is>
          <t>info@sport2000naaldwijk.nl</t>
        </is>
      </c>
      <c r="L48" s="20" t="n"/>
      <c r="M48" s="21">
        <f>IF(L48="","",TODAY()-L48)</f>
        <v/>
      </c>
      <c r="N48" s="17" t="inlineStr">
        <is>
          <t>Klant. Op higrip.nl: 'Al in het schap'.</t>
        </is>
      </c>
      <c r="O48" s="17" t="inlineStr">
        <is>
          <t>Tennis, voetbal, hardlopen, hockey, fitness</t>
        </is>
      </c>
      <c r="P48" s="17" t="inlineStr">
        <is>
          <t>Emmastraat 6, 2671 ET</t>
        </is>
      </c>
      <c r="Q48" s="17" t="inlineStr">
        <is>
          <t>Zuid-Holland</t>
        </is>
      </c>
      <c r="R48" s="17" t="inlineStr">
        <is>
          <t>Sport 2000</t>
        </is>
      </c>
      <c r="S48" s="17" t="inlineStr"/>
      <c r="T48" s="17" t="inlineStr">
        <is>
          <t>Mailbox info@ (27-10-2026): mail en reminder 29-07-2025 (sales@). Staat in Actieve Samenwerkingen; op higrip.nl 'Al in het schap'</t>
        </is>
      </c>
      <c r="U48" s="19" t="inlineStr">
        <is>
          <t>https://www.sport2000.nl/nl/vind-een-winkel/details/sport-2000-naaldwijk/</t>
        </is>
      </c>
    </row>
    <row r="49" ht="36" customHeight="1">
      <c r="A49" s="14" t="n">
        <v>44</v>
      </c>
      <c r="B49" s="15" t="inlineStr">
        <is>
          <t>KLANT</t>
        </is>
      </c>
      <c r="C49" s="16" t="inlineStr">
        <is>
          <t>Sport 2000 Nootdorp</t>
        </is>
      </c>
      <c r="D49" s="17" t="inlineStr">
        <is>
          <t>Nootdorp</t>
        </is>
      </c>
      <c r="E49" s="14" t="inlineStr">
        <is>
          <t>West</t>
        </is>
      </c>
      <c r="F49" s="18" t="inlineStr">
        <is>
          <t>Klant (actief)</t>
        </is>
      </c>
      <c r="G49" s="17" t="inlineStr">
        <is>
          <t>-</t>
        </is>
      </c>
      <c r="H49" s="17" t="inlineStr">
        <is>
          <t>Relatie onderhouden, herbestelling</t>
        </is>
      </c>
      <c r="I49" s="17" t="inlineStr">
        <is>
          <t>Jeroen Kroeze</t>
        </is>
      </c>
      <c r="J49" s="17" t="inlineStr">
        <is>
          <t>015-3640640</t>
        </is>
      </c>
      <c r="K49" s="19" t="inlineStr">
        <is>
          <t>info@sport2000nootdorp.nl</t>
        </is>
      </c>
      <c r="L49" s="20" t="n">
        <v>46283</v>
      </c>
      <c r="M49" s="21">
        <f>IF(L49="","",TODAY()-L49)</f>
        <v/>
      </c>
      <c r="N49" s="17" t="inlineStr">
        <is>
          <t>Klant (Jeroen Kroeze). Offerte Performance Grip Socks 2.0 op 18-09-2026.</t>
        </is>
      </c>
      <c r="O49" s="17" t="inlineStr">
        <is>
          <t>Hardlopen, fitness, running, voetbal, hockey, lifestyle, rugby, sportvoeding, ballet &amp; dans, boxing, skates</t>
        </is>
      </c>
      <c r="P49" s="17" t="inlineStr">
        <is>
          <t>Korte Baan 9-13, 2632 GL</t>
        </is>
      </c>
      <c r="Q49" s="17" t="inlineStr">
        <is>
          <t>Zuid-Holland</t>
        </is>
      </c>
      <c r="R49" s="17" t="inlineStr">
        <is>
          <t>Sport 2000</t>
        </is>
      </c>
      <c r="S49" s="17" t="inlineStr"/>
      <c r="T49" s="17" t="inlineStr">
        <is>
          <t>Mailbox info@ (27-10-2026): contact sinds 15-04-2025 (Mirthe); bestelling met factuur 26001 (jan 2026); offerte Performance Grip Socks 2.0 op 18-09-2026. Staat in Actieve Samenwerkingen</t>
        </is>
      </c>
      <c r="U49" s="19" t="inlineStr">
        <is>
          <t>https://www.sport2000.nl/nl/vind-een-winkel/details/sport-2000-nootdorp/</t>
        </is>
      </c>
    </row>
    <row r="50" ht="36" customHeight="1">
      <c r="A50" s="14" t="n">
        <v>45</v>
      </c>
      <c r="B50" s="15" t="inlineStr">
        <is>
          <t>NIET BENADEREN</t>
        </is>
      </c>
      <c r="C50" s="16" t="inlineStr">
        <is>
          <t>Sport 2000 Stehmann Zaltbommel</t>
        </is>
      </c>
      <c r="D50" s="17" t="inlineStr">
        <is>
          <t>Zaltbommel</t>
        </is>
      </c>
      <c r="E50" s="14" t="inlineStr">
        <is>
          <t>Oost</t>
        </is>
      </c>
      <c r="F50" s="18" t="inlineStr">
        <is>
          <t>Nooit meer benaderen</t>
        </is>
      </c>
      <c r="G50" s="17" t="inlineStr">
        <is>
          <t>Nooit</t>
        </is>
      </c>
      <c r="H50" s="17" t="inlineStr">
        <is>
          <t>Niet benaderen</t>
        </is>
      </c>
      <c r="I50" s="17" t="inlineStr"/>
      <c r="J50" s="17" t="inlineStr">
        <is>
          <t>0418-512878</t>
        </is>
      </c>
      <c r="K50" s="19" t="inlineStr">
        <is>
          <t>info@sport2000stehmann.nl</t>
        </is>
      </c>
      <c r="L50" s="20" t="n"/>
      <c r="M50" s="21">
        <f>IF(L50="","",TODAY()-L50)</f>
        <v/>
      </c>
      <c r="N50" s="17" t="inlineStr">
        <is>
          <t>Gemarkeerd 'Nooit meer benaderen' in de sheet.</t>
        </is>
      </c>
      <c r="O50" s="17" t="inlineStr">
        <is>
          <t>Outdoor, Schaatsen, Hardlopen, Hockey, Fitness, Zwemmen</t>
        </is>
      </c>
      <c r="P50" s="17" t="inlineStr">
        <is>
          <t>Gamerschestraat 36, 5301 AT</t>
        </is>
      </c>
      <c r="Q50" s="17" t="inlineStr">
        <is>
          <t>Gelderland</t>
        </is>
      </c>
      <c r="R50" s="17" t="inlineStr">
        <is>
          <t>Sport 2000</t>
        </is>
      </c>
      <c r="S50" s="17" t="inlineStr"/>
      <c r="T50" s="17" t="inlineStr">
        <is>
          <t>Retail-sheet: gemarkeerd 'Nooit meer benaderen'</t>
        </is>
      </c>
      <c r="U50" s="19" t="inlineStr">
        <is>
          <t>https://www.sport2000.nl/nl/vind-een-winkel/details/sport-2000-stehmann-zaltbommel/</t>
        </is>
      </c>
    </row>
    <row r="51" ht="36" customHeight="1">
      <c r="A51" s="14" t="n">
        <v>46</v>
      </c>
      <c r="B51" s="15" t="inlineStr">
        <is>
          <t>NIET BENADEREN</t>
        </is>
      </c>
      <c r="C51" s="16" t="inlineStr">
        <is>
          <t>Sport 2000 Egmond Aan Zee</t>
        </is>
      </c>
      <c r="D51" s="17" t="inlineStr">
        <is>
          <t>Egmond aan Zee</t>
        </is>
      </c>
      <c r="E51" s="14" t="inlineStr">
        <is>
          <t>West</t>
        </is>
      </c>
      <c r="F51" s="18" t="inlineStr">
        <is>
          <t>Nooit meer benaderen</t>
        </is>
      </c>
      <c r="G51" s="17" t="inlineStr">
        <is>
          <t>Nooit</t>
        </is>
      </c>
      <c r="H51" s="17" t="inlineStr">
        <is>
          <t>Niet benaderen</t>
        </is>
      </c>
      <c r="I51" s="17" t="inlineStr"/>
      <c r="J51" s="17" t="inlineStr">
        <is>
          <t>072-5071846</t>
        </is>
      </c>
      <c r="K51" s="19" t="inlineStr">
        <is>
          <t>info@sport2000egmondaanzee.nl</t>
        </is>
      </c>
      <c r="L51" s="20" t="n"/>
      <c r="M51" s="21">
        <f>IF(L51="","",TODAY()-L51)</f>
        <v/>
      </c>
      <c r="N51" s="17" t="inlineStr">
        <is>
          <t>Gemarkeerd 'Nooit meer benaderen' in de sheet.</t>
        </is>
      </c>
      <c r="O51" s="17" t="inlineStr">
        <is>
          <t>Breed sportassortiment (indicatief; niet gepubliceerd per winkel)</t>
        </is>
      </c>
      <c r="P51" s="17" t="inlineStr">
        <is>
          <t>Voorstraat 145, 1931 AK</t>
        </is>
      </c>
      <c r="Q51" s="17" t="inlineStr">
        <is>
          <t>Noord-Holland</t>
        </is>
      </c>
      <c r="R51" s="17" t="inlineStr">
        <is>
          <t>Sport 2000</t>
        </is>
      </c>
      <c r="S51" s="17" t="inlineStr"/>
      <c r="T51" s="17" t="inlineStr">
        <is>
          <t>Retail-sheet: gemarkeerd 'Nooit meer benaderen'</t>
        </is>
      </c>
      <c r="U51" s="19" t="inlineStr">
        <is>
          <t>https://www.sport2000.nl/nl/vind-een-winkel/details/sport-2000-egmond-aan-zee/</t>
        </is>
      </c>
    </row>
    <row r="52" ht="36" customHeight="1">
      <c r="A52" s="14" t="n">
        <v>47</v>
      </c>
      <c r="B52" s="15" t="inlineStr">
        <is>
          <t>NIET BENADEREN</t>
        </is>
      </c>
      <c r="C52" s="16" t="inlineStr">
        <is>
          <t>Sport 2000 Heemstede</t>
        </is>
      </c>
      <c r="D52" s="17" t="inlineStr">
        <is>
          <t>Heemstede</t>
        </is>
      </c>
      <c r="E52" s="14" t="inlineStr">
        <is>
          <t>West</t>
        </is>
      </c>
      <c r="F52" s="18" t="inlineStr">
        <is>
          <t>Nooit meer benaderen</t>
        </is>
      </c>
      <c r="G52" s="17" t="inlineStr">
        <is>
          <t>Nooit</t>
        </is>
      </c>
      <c r="H52" s="17" t="inlineStr">
        <is>
          <t>Niet benaderen</t>
        </is>
      </c>
      <c r="I52" s="17" t="inlineStr"/>
      <c r="J52" s="17" t="inlineStr">
        <is>
          <t>023-5476077</t>
        </is>
      </c>
      <c r="K52" s="19" t="inlineStr">
        <is>
          <t>info@sport2000heemstede.nl</t>
        </is>
      </c>
      <c r="L52" s="20" t="n"/>
      <c r="M52" s="21">
        <f>IF(L52="","",TODAY()-L52)</f>
        <v/>
      </c>
      <c r="N52" s="17" t="inlineStr">
        <is>
          <t>Gemarkeerd 'Nooit meer benaderen' in de sheet.</t>
        </is>
      </c>
      <c r="O52" s="17" t="inlineStr">
        <is>
          <t>Voetbal, padel, hardlopen, tennis, fitness</t>
        </is>
      </c>
      <c r="P52" s="17" t="inlineStr">
        <is>
          <t>Binnenweg 203-205, 2101 JJ</t>
        </is>
      </c>
      <c r="Q52" s="17" t="inlineStr">
        <is>
          <t>Noord-Holland</t>
        </is>
      </c>
      <c r="R52" s="17" t="inlineStr">
        <is>
          <t>Sport 2000</t>
        </is>
      </c>
      <c r="S52" s="17" t="inlineStr"/>
      <c r="T52" s="17" t="inlineStr">
        <is>
          <t>Retail-sheet: gemarkeerd 'Nooit meer benaderen'</t>
        </is>
      </c>
      <c r="U52" s="19" t="inlineStr">
        <is>
          <t>https://www.sport2000.nl/nl/vind-een-winkel/details/sport-2000-heemstede/</t>
        </is>
      </c>
    </row>
    <row r="53" ht="36" customHeight="1">
      <c r="A53" s="14" t="n">
        <v>48</v>
      </c>
      <c r="B53" s="15" t="inlineStr">
        <is>
          <t>NIET BENADEREN</t>
        </is>
      </c>
      <c r="C53" s="16" t="inlineStr">
        <is>
          <t>Sport 2000 Rijswijk</t>
        </is>
      </c>
      <c r="D53" s="17" t="inlineStr">
        <is>
          <t>Rijswijk</t>
        </is>
      </c>
      <c r="E53" s="14" t="inlineStr">
        <is>
          <t>West</t>
        </is>
      </c>
      <c r="F53" s="18" t="inlineStr">
        <is>
          <t>Nooit meer benaderen</t>
        </is>
      </c>
      <c r="G53" s="17" t="inlineStr">
        <is>
          <t>Nooit</t>
        </is>
      </c>
      <c r="H53" s="17" t="inlineStr">
        <is>
          <t>Niet benaderen</t>
        </is>
      </c>
      <c r="I53" s="17" t="inlineStr"/>
      <c r="J53" s="17" t="inlineStr">
        <is>
          <t>070-3939494</t>
        </is>
      </c>
      <c r="K53" s="19" t="inlineStr">
        <is>
          <t>info@sport2000rijswijk.nl</t>
        </is>
      </c>
      <c r="L53" s="20" t="n"/>
      <c r="M53" s="21">
        <f>IF(L53="","",TODAY()-L53)</f>
        <v/>
      </c>
      <c r="N53" s="17" t="inlineStr">
        <is>
          <t>Gemarkeerd 'Nooit meer benaderen' in de sheet.</t>
        </is>
      </c>
      <c r="O53" s="17" t="inlineStr">
        <is>
          <t>Voetbal, Club- en fankleding, Hardlopen, Tennis en Fitness</t>
        </is>
      </c>
      <c r="P53" s="17" t="inlineStr">
        <is>
          <t>Prins Constantijn Promenade 29, 2284 DL</t>
        </is>
      </c>
      <c r="Q53" s="17" t="inlineStr">
        <is>
          <t>Zuid-Holland</t>
        </is>
      </c>
      <c r="R53" s="17" t="inlineStr">
        <is>
          <t>Sport 2000</t>
        </is>
      </c>
      <c r="S53" s="17" t="inlineStr"/>
      <c r="T53" s="17" t="inlineStr">
        <is>
          <t>Retail-sheet: gemarkeerd 'Nooit meer benaderen'</t>
        </is>
      </c>
      <c r="U53" s="19" t="inlineStr">
        <is>
          <t>https://www.sport2000.nl/nl/vind-een-winkel/details/sport-2000-rijswijk/</t>
        </is>
      </c>
    </row>
    <row r="54" ht="36" customHeight="1">
      <c r="A54" s="14" t="n">
        <v>49</v>
      </c>
      <c r="B54" s="15" t="inlineStr">
        <is>
          <t>NIET BENADEREN</t>
        </is>
      </c>
      <c r="C54" s="16" t="inlineStr">
        <is>
          <t>Sport 2000 Oosterhout</t>
        </is>
      </c>
      <c r="D54" s="17" t="inlineStr">
        <is>
          <t>Oosterhout</t>
        </is>
      </c>
      <c r="E54" s="14" t="inlineStr">
        <is>
          <t>Zuid</t>
        </is>
      </c>
      <c r="F54" s="18" t="inlineStr">
        <is>
          <t>Nooit meer benaderen</t>
        </is>
      </c>
      <c r="G54" s="17" t="inlineStr">
        <is>
          <t>Nooit</t>
        </is>
      </c>
      <c r="H54" s="17" t="inlineStr">
        <is>
          <t>Niet benaderen</t>
        </is>
      </c>
      <c r="I54" s="17" t="inlineStr"/>
      <c r="J54" s="17" t="inlineStr">
        <is>
          <t>0162-767275</t>
        </is>
      </c>
      <c r="K54" s="19" t="inlineStr">
        <is>
          <t>info@sport2000oosterhout.nl</t>
        </is>
      </c>
      <c r="L54" s="20" t="n"/>
      <c r="M54" s="21">
        <f>IF(L54="","",TODAY()-L54)</f>
        <v/>
      </c>
      <c r="N54" s="17" t="inlineStr">
        <is>
          <t>Gemarkeerd 'Nooit meer benaderen' in de sheet.</t>
        </is>
      </c>
      <c r="O54" s="17" t="inlineStr">
        <is>
          <t>Hockey, voetbal, hardlopen, training/fitness, loopanalyse, bedrijfskleding, fitness</t>
        </is>
      </c>
      <c r="P54" s="17" t="inlineStr">
        <is>
          <t>Markt 2, 4901 EP</t>
        </is>
      </c>
      <c r="Q54" s="17" t="inlineStr">
        <is>
          <t>Noord-Brabant</t>
        </is>
      </c>
      <c r="R54" s="17" t="inlineStr">
        <is>
          <t>Sport 2000</t>
        </is>
      </c>
      <c r="S54" s="17" t="inlineStr"/>
      <c r="T54" s="17" t="inlineStr">
        <is>
          <t>Retail-sheet: gemarkeerd 'Nooit meer benaderen'</t>
        </is>
      </c>
      <c r="U54" s="19" t="inlineStr">
        <is>
          <t>https://www.sport2000.nl/nl/vind-een-winkel/details/sport-2000-oosterhout/</t>
        </is>
      </c>
    </row>
  </sheetData>
  <conditionalFormatting sqref="B6:B54">
    <cfRule type="expression" priority="1" dxfId="0" stopIfTrue="1">
      <formula>$B6="OPVOLGEN"</formula>
    </cfRule>
    <cfRule type="expression" priority="4" dxfId="1" stopIfTrue="1">
      <formula>$B6="BELLEN"</formula>
    </cfRule>
    <cfRule type="expression" priority="7" dxfId="2" stopIfTrue="1">
      <formula>$B6="MAILEN"</formula>
    </cfRule>
    <cfRule type="expression" priority="10" dxfId="3" stopIfTrue="1">
      <formula>$B6="WACHTEN"</formula>
    </cfRule>
    <cfRule type="expression" priority="13" dxfId="4" stopIfTrue="1">
      <formula>$B6="EERSTE BENADERING"</formula>
    </cfRule>
    <cfRule type="expression" priority="14" dxfId="5" stopIfTrue="1">
      <formula>$B6="LATER"</formula>
    </cfRule>
    <cfRule type="expression" priority="17" dxfId="6" stopIfTrue="1">
      <formula>$B6="KLANT"</formula>
    </cfRule>
    <cfRule type="expression" priority="20" dxfId="7" stopIfTrue="1">
      <formula>$B6="NIET BENADEREN"</formula>
    </cfRule>
  </conditionalFormatting>
  <conditionalFormatting sqref="A6:A54">
    <cfRule type="expression" priority="2" dxfId="8">
      <formula>$B6="OPVOLGEN"</formula>
    </cfRule>
    <cfRule type="expression" priority="5" dxfId="9">
      <formula>$B6="BELLEN"</formula>
    </cfRule>
    <cfRule type="expression" priority="8" dxfId="10">
      <formula>$B6="MAILEN"</formula>
    </cfRule>
    <cfRule type="expression" priority="11" dxfId="11">
      <formula>$B6="WACHTEN"</formula>
    </cfRule>
    <cfRule type="expression" priority="15" dxfId="12">
      <formula>$B6="LATER"</formula>
    </cfRule>
    <cfRule type="expression" priority="18" dxfId="13">
      <formula>$B6="KLANT"</formula>
    </cfRule>
    <cfRule type="expression" priority="21" dxfId="14">
      <formula>$B6="NIET BENADEREN"</formula>
    </cfRule>
  </conditionalFormatting>
  <conditionalFormatting sqref="C6:U54">
    <cfRule type="expression" priority="3" dxfId="8">
      <formula>$B6="OPVOLGEN"</formula>
    </cfRule>
    <cfRule type="expression" priority="6" dxfId="9">
      <formula>$B6="BELLEN"</formula>
    </cfRule>
    <cfRule type="expression" priority="9" dxfId="10">
      <formula>$B6="MAILEN"</formula>
    </cfRule>
    <cfRule type="expression" priority="12" dxfId="11">
      <formula>$B6="WACHTEN"</formula>
    </cfRule>
    <cfRule type="expression" priority="16" dxfId="12">
      <formula>$B6="LATER"</formula>
    </cfRule>
    <cfRule type="expression" priority="19" dxfId="13">
      <formula>$B6="KLANT"</formula>
    </cfRule>
    <cfRule type="expression" priority="22" dxfId="14">
      <formula>$B6="NIET BENADEREN"</formula>
    </cfRule>
  </conditionalFormatting>
  <conditionalFormatting sqref="M6:M54">
    <cfRule type="expression" priority="23" dxfId="15">
      <formula>AND(ISNUMBER($M6),$M6&gt;60)</formula>
    </cfRule>
    <cfRule type="expression" priority="24" dxfId="16">
      <formula>AND(ISNUMBER($M6),$M6&gt;30)</formula>
    </cfRule>
  </conditionalFormatting>
  <conditionalFormatting sqref="C6:C54">
    <cfRule type="expression" priority="25" dxfId="17">
      <formula>OR($B6="KLANT",$B6="NIET BENADEREN")</formula>
    </cfRule>
  </conditionalFormatting>
  <dataValidations count="2">
    <dataValidation sqref="B6:B54" showDropDown="0" showInputMessage="0" showErrorMessage="0" allowBlank="0" type="list">
      <formula1>"OPVOLGEN,BELLEN,MAILEN,WACHTEN,EERSTE BENADERING,LATER,KLANT,NIET BENADEREN"</formula1>
    </dataValidation>
    <dataValidation sqref="F6:F54" showDropDown="0" showInputMessage="0" showErrorMessage="0" allowBlank="0" type="list">
      <formula1>"Klant (actief),Positieve lead,Mailen,Gemaild / Gebeld,Reminder gestuurd,Bellen,Bellen ons (terugbellen door hen),Nu geen interesse, later opnieuw benaderen,Nooit meer benaderen,Nog niet benaderd"</formula1>
    </dataValidation>
  </dataValidations>
  <hyperlinks>
    <hyperlink xmlns:r="http://schemas.openxmlformats.org/officeDocument/2006/relationships" ref="K6" r:id="rId1"/>
    <hyperlink xmlns:r="http://schemas.openxmlformats.org/officeDocument/2006/relationships" ref="U6" r:id="rId2"/>
    <hyperlink xmlns:r="http://schemas.openxmlformats.org/officeDocument/2006/relationships" ref="K7" r:id="rId3"/>
    <hyperlink xmlns:r="http://schemas.openxmlformats.org/officeDocument/2006/relationships" ref="U7" r:id="rId4"/>
    <hyperlink xmlns:r="http://schemas.openxmlformats.org/officeDocument/2006/relationships" ref="K8" r:id="rId5"/>
    <hyperlink xmlns:r="http://schemas.openxmlformats.org/officeDocument/2006/relationships" ref="U8" r:id="rId6"/>
    <hyperlink xmlns:r="http://schemas.openxmlformats.org/officeDocument/2006/relationships" ref="K9" r:id="rId7"/>
    <hyperlink xmlns:r="http://schemas.openxmlformats.org/officeDocument/2006/relationships" ref="U9" r:id="rId8"/>
    <hyperlink xmlns:r="http://schemas.openxmlformats.org/officeDocument/2006/relationships" ref="K10" r:id="rId9"/>
    <hyperlink xmlns:r="http://schemas.openxmlformats.org/officeDocument/2006/relationships" ref="U10" r:id="rId10"/>
    <hyperlink xmlns:r="http://schemas.openxmlformats.org/officeDocument/2006/relationships" ref="K11" r:id="rId11"/>
    <hyperlink xmlns:r="http://schemas.openxmlformats.org/officeDocument/2006/relationships" ref="U11" r:id="rId12"/>
    <hyperlink xmlns:r="http://schemas.openxmlformats.org/officeDocument/2006/relationships" ref="K12" r:id="rId13"/>
    <hyperlink xmlns:r="http://schemas.openxmlformats.org/officeDocument/2006/relationships" ref="U12" r:id="rId14"/>
    <hyperlink xmlns:r="http://schemas.openxmlformats.org/officeDocument/2006/relationships" ref="K13" r:id="rId15"/>
    <hyperlink xmlns:r="http://schemas.openxmlformats.org/officeDocument/2006/relationships" ref="U13" r:id="rId16"/>
    <hyperlink xmlns:r="http://schemas.openxmlformats.org/officeDocument/2006/relationships" ref="K14" r:id="rId17"/>
    <hyperlink xmlns:r="http://schemas.openxmlformats.org/officeDocument/2006/relationships" ref="U14" r:id="rId18"/>
    <hyperlink xmlns:r="http://schemas.openxmlformats.org/officeDocument/2006/relationships" ref="K15" r:id="rId19"/>
    <hyperlink xmlns:r="http://schemas.openxmlformats.org/officeDocument/2006/relationships" ref="U15" r:id="rId20"/>
    <hyperlink xmlns:r="http://schemas.openxmlformats.org/officeDocument/2006/relationships" ref="K16" r:id="rId21"/>
    <hyperlink xmlns:r="http://schemas.openxmlformats.org/officeDocument/2006/relationships" ref="U16" r:id="rId22"/>
    <hyperlink xmlns:r="http://schemas.openxmlformats.org/officeDocument/2006/relationships" ref="K17" r:id="rId23"/>
    <hyperlink xmlns:r="http://schemas.openxmlformats.org/officeDocument/2006/relationships" ref="U17" r:id="rId24"/>
    <hyperlink xmlns:r="http://schemas.openxmlformats.org/officeDocument/2006/relationships" ref="K18" r:id="rId25"/>
    <hyperlink xmlns:r="http://schemas.openxmlformats.org/officeDocument/2006/relationships" ref="U18" r:id="rId26"/>
    <hyperlink xmlns:r="http://schemas.openxmlformats.org/officeDocument/2006/relationships" ref="K19" r:id="rId27"/>
    <hyperlink xmlns:r="http://schemas.openxmlformats.org/officeDocument/2006/relationships" ref="U19" r:id="rId28"/>
    <hyperlink xmlns:r="http://schemas.openxmlformats.org/officeDocument/2006/relationships" ref="K20" r:id="rId29"/>
    <hyperlink xmlns:r="http://schemas.openxmlformats.org/officeDocument/2006/relationships" ref="U20" r:id="rId30"/>
    <hyperlink xmlns:r="http://schemas.openxmlformats.org/officeDocument/2006/relationships" ref="K21" r:id="rId31"/>
    <hyperlink xmlns:r="http://schemas.openxmlformats.org/officeDocument/2006/relationships" ref="U21" r:id="rId32"/>
    <hyperlink xmlns:r="http://schemas.openxmlformats.org/officeDocument/2006/relationships" ref="K22" r:id="rId33"/>
    <hyperlink xmlns:r="http://schemas.openxmlformats.org/officeDocument/2006/relationships" ref="U22" r:id="rId34"/>
    <hyperlink xmlns:r="http://schemas.openxmlformats.org/officeDocument/2006/relationships" ref="K23" r:id="rId35"/>
    <hyperlink xmlns:r="http://schemas.openxmlformats.org/officeDocument/2006/relationships" ref="U23" r:id="rId36"/>
    <hyperlink xmlns:r="http://schemas.openxmlformats.org/officeDocument/2006/relationships" ref="K24" r:id="rId37"/>
    <hyperlink xmlns:r="http://schemas.openxmlformats.org/officeDocument/2006/relationships" ref="U24" r:id="rId38"/>
    <hyperlink xmlns:r="http://schemas.openxmlformats.org/officeDocument/2006/relationships" ref="K25" r:id="rId39"/>
    <hyperlink xmlns:r="http://schemas.openxmlformats.org/officeDocument/2006/relationships" ref="U25" r:id="rId40"/>
    <hyperlink xmlns:r="http://schemas.openxmlformats.org/officeDocument/2006/relationships" ref="K26" r:id="rId41"/>
    <hyperlink xmlns:r="http://schemas.openxmlformats.org/officeDocument/2006/relationships" ref="U26" r:id="rId42"/>
    <hyperlink xmlns:r="http://schemas.openxmlformats.org/officeDocument/2006/relationships" ref="K27" r:id="rId43"/>
    <hyperlink xmlns:r="http://schemas.openxmlformats.org/officeDocument/2006/relationships" ref="U27" r:id="rId44"/>
    <hyperlink xmlns:r="http://schemas.openxmlformats.org/officeDocument/2006/relationships" ref="K28" r:id="rId45"/>
    <hyperlink xmlns:r="http://schemas.openxmlformats.org/officeDocument/2006/relationships" ref="U28" r:id="rId46"/>
    <hyperlink xmlns:r="http://schemas.openxmlformats.org/officeDocument/2006/relationships" ref="K29" r:id="rId47"/>
    <hyperlink xmlns:r="http://schemas.openxmlformats.org/officeDocument/2006/relationships" ref="U29" r:id="rId48"/>
    <hyperlink xmlns:r="http://schemas.openxmlformats.org/officeDocument/2006/relationships" ref="K30" r:id="rId49"/>
    <hyperlink xmlns:r="http://schemas.openxmlformats.org/officeDocument/2006/relationships" ref="U30" r:id="rId50"/>
    <hyperlink xmlns:r="http://schemas.openxmlformats.org/officeDocument/2006/relationships" ref="K31" r:id="rId51"/>
    <hyperlink xmlns:r="http://schemas.openxmlformats.org/officeDocument/2006/relationships" ref="U31" r:id="rId52"/>
    <hyperlink xmlns:r="http://schemas.openxmlformats.org/officeDocument/2006/relationships" ref="K32" r:id="rId53"/>
    <hyperlink xmlns:r="http://schemas.openxmlformats.org/officeDocument/2006/relationships" ref="U32" r:id="rId54"/>
    <hyperlink xmlns:r="http://schemas.openxmlformats.org/officeDocument/2006/relationships" ref="K33" r:id="rId55"/>
    <hyperlink xmlns:r="http://schemas.openxmlformats.org/officeDocument/2006/relationships" ref="U33" r:id="rId56"/>
    <hyperlink xmlns:r="http://schemas.openxmlformats.org/officeDocument/2006/relationships" ref="K34" r:id="rId57"/>
    <hyperlink xmlns:r="http://schemas.openxmlformats.org/officeDocument/2006/relationships" ref="U34" r:id="rId58"/>
    <hyperlink xmlns:r="http://schemas.openxmlformats.org/officeDocument/2006/relationships" ref="K35" r:id="rId59"/>
    <hyperlink xmlns:r="http://schemas.openxmlformats.org/officeDocument/2006/relationships" ref="U35" r:id="rId60"/>
    <hyperlink xmlns:r="http://schemas.openxmlformats.org/officeDocument/2006/relationships" ref="K36" r:id="rId61"/>
    <hyperlink xmlns:r="http://schemas.openxmlformats.org/officeDocument/2006/relationships" ref="U36" r:id="rId62"/>
    <hyperlink xmlns:r="http://schemas.openxmlformats.org/officeDocument/2006/relationships" ref="K37" r:id="rId63"/>
    <hyperlink xmlns:r="http://schemas.openxmlformats.org/officeDocument/2006/relationships" ref="U37" r:id="rId64"/>
    <hyperlink xmlns:r="http://schemas.openxmlformats.org/officeDocument/2006/relationships" ref="K38" r:id="rId65"/>
    <hyperlink xmlns:r="http://schemas.openxmlformats.org/officeDocument/2006/relationships" ref="U38" r:id="rId66"/>
    <hyperlink xmlns:r="http://schemas.openxmlformats.org/officeDocument/2006/relationships" ref="K39" r:id="rId67"/>
    <hyperlink xmlns:r="http://schemas.openxmlformats.org/officeDocument/2006/relationships" ref="U39" r:id="rId68"/>
    <hyperlink xmlns:r="http://schemas.openxmlformats.org/officeDocument/2006/relationships" ref="K40" r:id="rId69"/>
    <hyperlink xmlns:r="http://schemas.openxmlformats.org/officeDocument/2006/relationships" ref="U40" r:id="rId70"/>
    <hyperlink xmlns:r="http://schemas.openxmlformats.org/officeDocument/2006/relationships" ref="K41" r:id="rId71"/>
    <hyperlink xmlns:r="http://schemas.openxmlformats.org/officeDocument/2006/relationships" ref="U41" r:id="rId72"/>
    <hyperlink xmlns:r="http://schemas.openxmlformats.org/officeDocument/2006/relationships" ref="K42" r:id="rId73"/>
    <hyperlink xmlns:r="http://schemas.openxmlformats.org/officeDocument/2006/relationships" ref="U42" r:id="rId74"/>
    <hyperlink xmlns:r="http://schemas.openxmlformats.org/officeDocument/2006/relationships" ref="K43" r:id="rId75"/>
    <hyperlink xmlns:r="http://schemas.openxmlformats.org/officeDocument/2006/relationships" ref="U43" r:id="rId76"/>
    <hyperlink xmlns:r="http://schemas.openxmlformats.org/officeDocument/2006/relationships" ref="K44" r:id="rId77"/>
    <hyperlink xmlns:r="http://schemas.openxmlformats.org/officeDocument/2006/relationships" ref="U44" r:id="rId78"/>
    <hyperlink xmlns:r="http://schemas.openxmlformats.org/officeDocument/2006/relationships" ref="K45" r:id="rId79"/>
    <hyperlink xmlns:r="http://schemas.openxmlformats.org/officeDocument/2006/relationships" ref="U45" r:id="rId80"/>
    <hyperlink xmlns:r="http://schemas.openxmlformats.org/officeDocument/2006/relationships" ref="K46" r:id="rId81"/>
    <hyperlink xmlns:r="http://schemas.openxmlformats.org/officeDocument/2006/relationships" ref="U46" r:id="rId82"/>
    <hyperlink xmlns:r="http://schemas.openxmlformats.org/officeDocument/2006/relationships" ref="K47" r:id="rId83"/>
    <hyperlink xmlns:r="http://schemas.openxmlformats.org/officeDocument/2006/relationships" ref="U47" r:id="rId84"/>
    <hyperlink xmlns:r="http://schemas.openxmlformats.org/officeDocument/2006/relationships" ref="K48" r:id="rId85"/>
    <hyperlink xmlns:r="http://schemas.openxmlformats.org/officeDocument/2006/relationships" ref="U48" r:id="rId86"/>
    <hyperlink xmlns:r="http://schemas.openxmlformats.org/officeDocument/2006/relationships" ref="K49" r:id="rId87"/>
    <hyperlink xmlns:r="http://schemas.openxmlformats.org/officeDocument/2006/relationships" ref="U49" r:id="rId88"/>
    <hyperlink xmlns:r="http://schemas.openxmlformats.org/officeDocument/2006/relationships" ref="K50" r:id="rId89"/>
    <hyperlink xmlns:r="http://schemas.openxmlformats.org/officeDocument/2006/relationships" ref="U50" r:id="rId90"/>
    <hyperlink xmlns:r="http://schemas.openxmlformats.org/officeDocument/2006/relationships" ref="K51" r:id="rId91"/>
    <hyperlink xmlns:r="http://schemas.openxmlformats.org/officeDocument/2006/relationships" ref="U51" r:id="rId92"/>
    <hyperlink xmlns:r="http://schemas.openxmlformats.org/officeDocument/2006/relationships" ref="K52" r:id="rId93"/>
    <hyperlink xmlns:r="http://schemas.openxmlformats.org/officeDocument/2006/relationships" ref="U52" r:id="rId94"/>
    <hyperlink xmlns:r="http://schemas.openxmlformats.org/officeDocument/2006/relationships" ref="K53" r:id="rId95"/>
    <hyperlink xmlns:r="http://schemas.openxmlformats.org/officeDocument/2006/relationships" ref="U53" r:id="rId96"/>
    <hyperlink xmlns:r="http://schemas.openxmlformats.org/officeDocument/2006/relationships" ref="K54" r:id="rId97"/>
    <hyperlink xmlns:r="http://schemas.openxmlformats.org/officeDocument/2006/relationships" ref="U54" r:id="rId98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99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" customWidth="1" min="11" max="11"/>
    <col width="2" customWidth="1" min="12" max="12"/>
    <col width="2" customWidth="1" min="13" max="13"/>
  </cols>
  <sheetData>
    <row r="1" ht="30" customHeight="1">
      <c r="B1" s="22" t="inlineStr">
        <is>
          <t>OVERZICHT &amp; STAPPEN</t>
        </is>
      </c>
    </row>
    <row r="3">
      <c r="B3" s="23" t="inlineStr">
        <is>
          <t>WAT MOET NU?</t>
        </is>
      </c>
    </row>
    <row r="4" ht="22" customHeight="1">
      <c r="B4" s="24" t="inlineStr">
        <is>
          <t>OPVOLGEN</t>
        </is>
      </c>
      <c r="C4" s="25" t="n"/>
      <c r="D4" s="26" t="inlineStr">
        <is>
          <t>BELLEN</t>
        </is>
      </c>
      <c r="E4" s="27" t="n"/>
      <c r="F4" s="28" t="inlineStr">
        <is>
          <t>MAILEN</t>
        </is>
      </c>
      <c r="G4" s="29" t="n"/>
      <c r="H4" s="30" t="inlineStr">
        <is>
          <t>WACHTEN</t>
        </is>
      </c>
      <c r="I4" s="31" t="n"/>
    </row>
    <row r="5" ht="22" customHeight="1">
      <c r="B5" s="32">
        <f>COUNTIF('Call-lijst'!$B$6:$B$54,"OPVOLGEN")</f>
        <v/>
      </c>
      <c r="C5" s="33" t="n"/>
      <c r="D5" s="34">
        <f>COUNTIF('Call-lijst'!$B$6:$B$54,"BELLEN")</f>
        <v/>
      </c>
      <c r="E5" s="35" t="n"/>
      <c r="F5" s="36">
        <f>COUNTIF('Call-lijst'!$B$6:$B$54,"MAILEN")</f>
        <v/>
      </c>
      <c r="G5" s="37" t="n"/>
      <c r="H5" s="38">
        <f>COUNTIF('Call-lijst'!$B$6:$B$54,"WACHTEN")</f>
        <v/>
      </c>
      <c r="I5" s="39" t="n"/>
    </row>
    <row r="6" ht="22" customHeight="1">
      <c r="B6" s="40" t="n"/>
      <c r="C6" s="41" t="n"/>
      <c r="D6" s="42" t="n"/>
      <c r="E6" s="43" t="n"/>
      <c r="F6" s="44" t="n"/>
      <c r="G6" s="45" t="n"/>
      <c r="H6" s="46" t="n"/>
      <c r="I6" s="47" t="n"/>
    </row>
    <row r="8" ht="22" customHeight="1">
      <c r="B8" s="48" t="inlineStr">
        <is>
          <t>EERSTE BENADERING</t>
        </is>
      </c>
      <c r="C8" s="49" t="n"/>
      <c r="D8" s="50" t="inlineStr">
        <is>
          <t>LATER</t>
        </is>
      </c>
      <c r="E8" s="51" t="n"/>
      <c r="F8" s="52" t="inlineStr">
        <is>
          <t>KLANT</t>
        </is>
      </c>
      <c r="G8" s="53" t="n"/>
      <c r="H8" s="54" t="inlineStr">
        <is>
          <t>NIET BENADEREN</t>
        </is>
      </c>
      <c r="I8" s="55" t="n"/>
    </row>
    <row r="9" ht="22" customHeight="1">
      <c r="B9" s="56">
        <f>COUNTIF('Call-lijst'!$B$6:$B$54,"EERSTE BENADERING")</f>
        <v/>
      </c>
      <c r="C9" s="57" t="n"/>
      <c r="D9" s="58">
        <f>COUNTIF('Call-lijst'!$B$6:$B$54,"LATER")</f>
        <v/>
      </c>
      <c r="E9" s="59" t="n"/>
      <c r="F9" s="60">
        <f>COUNTIF('Call-lijst'!$B$6:$B$54,"KLANT")</f>
        <v/>
      </c>
      <c r="G9" s="61" t="n"/>
      <c r="H9" s="62">
        <f>COUNTIF('Call-lijst'!$B$6:$B$54,"NIET BENADEREN")</f>
        <v/>
      </c>
      <c r="I9" s="63" t="n"/>
    </row>
    <row r="10" ht="22" customHeight="1">
      <c r="B10" s="64" t="n"/>
      <c r="C10" s="65" t="n"/>
      <c r="D10" s="66" t="n"/>
      <c r="E10" s="67" t="n"/>
      <c r="F10" s="68" t="n"/>
      <c r="G10" s="69" t="n"/>
      <c r="H10" s="70" t="n"/>
      <c r="I10" s="71" t="n"/>
    </row>
    <row r="13">
      <c r="B13" s="23" t="inlineStr">
        <is>
          <t>PER REGIO</t>
        </is>
      </c>
    </row>
    <row r="14" ht="30" customHeight="1">
      <c r="B14" s="72" t="inlineStr">
        <is>
          <t>Regio</t>
        </is>
      </c>
      <c r="C14" s="73" t="inlineStr">
        <is>
          <t>OPVOLGEN</t>
        </is>
      </c>
      <c r="D14" s="73" t="inlineStr">
        <is>
          <t>BELLEN</t>
        </is>
      </c>
      <c r="E14" s="73" t="inlineStr">
        <is>
          <t>MAILEN</t>
        </is>
      </c>
      <c r="F14" s="73" t="inlineStr">
        <is>
          <t>WACHTEN</t>
        </is>
      </c>
      <c r="G14" s="73" t="inlineStr">
        <is>
          <t>EERSTE BENADERING</t>
        </is>
      </c>
      <c r="H14" s="73" t="inlineStr">
        <is>
          <t>LATER</t>
        </is>
      </c>
      <c r="I14" s="73" t="inlineStr">
        <is>
          <t>KLANT</t>
        </is>
      </c>
      <c r="J14" s="73" t="inlineStr">
        <is>
          <t>NIET BENADEREN</t>
        </is>
      </c>
    </row>
    <row r="15">
      <c r="B15" s="74" t="inlineStr">
        <is>
          <t>West</t>
        </is>
      </c>
      <c r="C15" s="75">
        <f>COUNTIFS('Call-lijst'!$E$6:$E$54,$B15,'Call-lijst'!$B$6:$B$54,"OPVOLGEN")</f>
        <v/>
      </c>
      <c r="D15" s="75">
        <f>COUNTIFS('Call-lijst'!$E$6:$E$54,$B15,'Call-lijst'!$B$6:$B$54,"BELLEN")</f>
        <v/>
      </c>
      <c r="E15" s="75">
        <f>COUNTIFS('Call-lijst'!$E$6:$E$54,$B15,'Call-lijst'!$B$6:$B$54,"MAILEN")</f>
        <v/>
      </c>
      <c r="F15" s="75">
        <f>COUNTIFS('Call-lijst'!$E$6:$E$54,$B15,'Call-lijst'!$B$6:$B$54,"WACHTEN")</f>
        <v/>
      </c>
      <c r="G15" s="75">
        <f>COUNTIFS('Call-lijst'!$E$6:$E$54,$B15,'Call-lijst'!$B$6:$B$54,"EERSTE BENADERING")</f>
        <v/>
      </c>
      <c r="H15" s="75">
        <f>COUNTIFS('Call-lijst'!$E$6:$E$54,$B15,'Call-lijst'!$B$6:$B$54,"LATER")</f>
        <v/>
      </c>
      <c r="I15" s="75">
        <f>COUNTIFS('Call-lijst'!$E$6:$E$54,$B15,'Call-lijst'!$B$6:$B$54,"KLANT")</f>
        <v/>
      </c>
      <c r="J15" s="75">
        <f>COUNTIFS('Call-lijst'!$E$6:$E$54,$B15,'Call-lijst'!$B$6:$B$54,"NIET BENADEREN")</f>
        <v/>
      </c>
    </row>
    <row r="16">
      <c r="B16" s="74" t="inlineStr">
        <is>
          <t>Midden</t>
        </is>
      </c>
      <c r="C16" s="75">
        <f>COUNTIFS('Call-lijst'!$E$6:$E$54,$B16,'Call-lijst'!$B$6:$B$54,"OPVOLGEN")</f>
        <v/>
      </c>
      <c r="D16" s="75">
        <f>COUNTIFS('Call-lijst'!$E$6:$E$54,$B16,'Call-lijst'!$B$6:$B$54,"BELLEN")</f>
        <v/>
      </c>
      <c r="E16" s="75">
        <f>COUNTIFS('Call-lijst'!$E$6:$E$54,$B16,'Call-lijst'!$B$6:$B$54,"MAILEN")</f>
        <v/>
      </c>
      <c r="F16" s="75">
        <f>COUNTIFS('Call-lijst'!$E$6:$E$54,$B16,'Call-lijst'!$B$6:$B$54,"WACHTEN")</f>
        <v/>
      </c>
      <c r="G16" s="75">
        <f>COUNTIFS('Call-lijst'!$E$6:$E$54,$B16,'Call-lijst'!$B$6:$B$54,"EERSTE BENADERING")</f>
        <v/>
      </c>
      <c r="H16" s="75">
        <f>COUNTIFS('Call-lijst'!$E$6:$E$54,$B16,'Call-lijst'!$B$6:$B$54,"LATER")</f>
        <v/>
      </c>
      <c r="I16" s="75">
        <f>COUNTIFS('Call-lijst'!$E$6:$E$54,$B16,'Call-lijst'!$B$6:$B$54,"KLANT")</f>
        <v/>
      </c>
      <c r="J16" s="75">
        <f>COUNTIFS('Call-lijst'!$E$6:$E$54,$B16,'Call-lijst'!$B$6:$B$54,"NIET BENADEREN")</f>
        <v/>
      </c>
    </row>
    <row r="17">
      <c r="B17" s="74" t="inlineStr">
        <is>
          <t>Oost</t>
        </is>
      </c>
      <c r="C17" s="75">
        <f>COUNTIFS('Call-lijst'!$E$6:$E$54,$B17,'Call-lijst'!$B$6:$B$54,"OPVOLGEN")</f>
        <v/>
      </c>
      <c r="D17" s="75">
        <f>COUNTIFS('Call-lijst'!$E$6:$E$54,$B17,'Call-lijst'!$B$6:$B$54,"BELLEN")</f>
        <v/>
      </c>
      <c r="E17" s="75">
        <f>COUNTIFS('Call-lijst'!$E$6:$E$54,$B17,'Call-lijst'!$B$6:$B$54,"MAILEN")</f>
        <v/>
      </c>
      <c r="F17" s="75">
        <f>COUNTIFS('Call-lijst'!$E$6:$E$54,$B17,'Call-lijst'!$B$6:$B$54,"WACHTEN")</f>
        <v/>
      </c>
      <c r="G17" s="75">
        <f>COUNTIFS('Call-lijst'!$E$6:$E$54,$B17,'Call-lijst'!$B$6:$B$54,"EERSTE BENADERING")</f>
        <v/>
      </c>
      <c r="H17" s="75">
        <f>COUNTIFS('Call-lijst'!$E$6:$E$54,$B17,'Call-lijst'!$B$6:$B$54,"LATER")</f>
        <v/>
      </c>
      <c r="I17" s="75">
        <f>COUNTIFS('Call-lijst'!$E$6:$E$54,$B17,'Call-lijst'!$B$6:$B$54,"KLANT")</f>
        <v/>
      </c>
      <c r="J17" s="75">
        <f>COUNTIFS('Call-lijst'!$E$6:$E$54,$B17,'Call-lijst'!$B$6:$B$54,"NIET BENADEREN")</f>
        <v/>
      </c>
    </row>
    <row r="18">
      <c r="B18" s="74" t="inlineStr">
        <is>
          <t>Zuid</t>
        </is>
      </c>
      <c r="C18" s="75">
        <f>COUNTIFS('Call-lijst'!$E$6:$E$54,$B18,'Call-lijst'!$B$6:$B$54,"OPVOLGEN")</f>
        <v/>
      </c>
      <c r="D18" s="75">
        <f>COUNTIFS('Call-lijst'!$E$6:$E$54,$B18,'Call-lijst'!$B$6:$B$54,"BELLEN")</f>
        <v/>
      </c>
      <c r="E18" s="75">
        <f>COUNTIFS('Call-lijst'!$E$6:$E$54,$B18,'Call-lijst'!$B$6:$B$54,"MAILEN")</f>
        <v/>
      </c>
      <c r="F18" s="75">
        <f>COUNTIFS('Call-lijst'!$E$6:$E$54,$B18,'Call-lijst'!$B$6:$B$54,"WACHTEN")</f>
        <v/>
      </c>
      <c r="G18" s="75">
        <f>COUNTIFS('Call-lijst'!$E$6:$E$54,$B18,'Call-lijst'!$B$6:$B$54,"EERSTE BENADERING")</f>
        <v/>
      </c>
      <c r="H18" s="75">
        <f>COUNTIFS('Call-lijst'!$E$6:$E$54,$B18,'Call-lijst'!$B$6:$B$54,"LATER")</f>
        <v/>
      </c>
      <c r="I18" s="75">
        <f>COUNTIFS('Call-lijst'!$E$6:$E$54,$B18,'Call-lijst'!$B$6:$B$54,"KLANT")</f>
        <v/>
      </c>
      <c r="J18" s="75">
        <f>COUNTIFS('Call-lijst'!$E$6:$E$54,$B18,'Call-lijst'!$B$6:$B$54,"NIET BENADEREN")</f>
        <v/>
      </c>
    </row>
    <row r="19">
      <c r="B19" s="74" t="inlineStr">
        <is>
          <t>Noord</t>
        </is>
      </c>
      <c r="C19" s="75">
        <f>COUNTIFS('Call-lijst'!$E$6:$E$54,$B19,'Call-lijst'!$B$6:$B$54,"OPVOLGEN")</f>
        <v/>
      </c>
      <c r="D19" s="75">
        <f>COUNTIFS('Call-lijst'!$E$6:$E$54,$B19,'Call-lijst'!$B$6:$B$54,"BELLEN")</f>
        <v/>
      </c>
      <c r="E19" s="75">
        <f>COUNTIFS('Call-lijst'!$E$6:$E$54,$B19,'Call-lijst'!$B$6:$B$54,"MAILEN")</f>
        <v/>
      </c>
      <c r="F19" s="75">
        <f>COUNTIFS('Call-lijst'!$E$6:$E$54,$B19,'Call-lijst'!$B$6:$B$54,"WACHTEN")</f>
        <v/>
      </c>
      <c r="G19" s="75">
        <f>COUNTIFS('Call-lijst'!$E$6:$E$54,$B19,'Call-lijst'!$B$6:$B$54,"EERSTE BENADERING")</f>
        <v/>
      </c>
      <c r="H19" s="75">
        <f>COUNTIFS('Call-lijst'!$E$6:$E$54,$B19,'Call-lijst'!$B$6:$B$54,"LATER")</f>
        <v/>
      </c>
      <c r="I19" s="75">
        <f>COUNTIFS('Call-lijst'!$E$6:$E$54,$B19,'Call-lijst'!$B$6:$B$54,"KLANT")</f>
        <v/>
      </c>
      <c r="J19" s="75">
        <f>COUNTIFS('Call-lijst'!$E$6:$E$54,$B19,'Call-lijst'!$B$6:$B$54,"NIET BENADEREN")</f>
        <v/>
      </c>
    </row>
    <row r="22">
      <c r="B22" s="23" t="inlineStr">
        <is>
          <t>DE STAPPEN (zo werken jullie legenda en de lijst samen)</t>
        </is>
      </c>
    </row>
    <row r="23">
      <c r="B23" s="76" t="inlineStr">
        <is>
          <t>Stap</t>
        </is>
      </c>
      <c r="C23" s="76" t="inlineStr">
        <is>
          <t>Actie op de lijst</t>
        </is>
      </c>
      <c r="D23" s="76" t="inlineStr">
        <is>
          <t>Wat doe je?</t>
        </is>
      </c>
      <c r="E23" s="76" t="n"/>
      <c r="F23" s="76" t="n"/>
      <c r="G23" s="76" t="n"/>
      <c r="H23" s="76" t="inlineStr">
        <is>
          <t>Status in legenda</t>
        </is>
      </c>
      <c r="I23" s="76" t="n"/>
    </row>
    <row r="24" ht="32" customHeight="1">
      <c r="B24" s="74" t="inlineStr">
        <is>
          <t>1</t>
        </is>
      </c>
      <c r="C24" s="77" t="inlineStr">
        <is>
          <t>EERSTE BENADERING</t>
        </is>
      </c>
      <c r="D24" s="78" t="inlineStr">
        <is>
          <t>Nog geen contact. Bel de winkel, vraag naar de inkoper, mail daarna de uitleg met catalogus.</t>
        </is>
      </c>
      <c r="E24" s="79" t="n"/>
      <c r="F24" s="79" t="n"/>
      <c r="G24" s="79" t="n"/>
      <c r="H24" s="80" t="inlineStr">
        <is>
          <t>Nog niet benaderd</t>
        </is>
      </c>
      <c r="I24" s="79" t="n"/>
    </row>
    <row r="25" ht="32" customHeight="1">
      <c r="B25" s="74" t="inlineStr">
        <is>
          <t>2</t>
        </is>
      </c>
      <c r="C25" s="81" t="inlineStr">
        <is>
          <t>Gebeld / gemaild</t>
        </is>
      </c>
      <c r="D25" s="78" t="inlineStr">
        <is>
          <t>Eerste contact is geweest. Wacht op reactie of terugbellen.</t>
        </is>
      </c>
      <c r="E25" s="79" t="n"/>
      <c r="F25" s="79" t="n"/>
      <c r="G25" s="79" t="n"/>
      <c r="H25" s="80" t="inlineStr">
        <is>
          <t>Gemaild / Gebeld · Bellen ons</t>
        </is>
      </c>
      <c r="I25" s="79" t="n"/>
    </row>
    <row r="26" ht="32" customHeight="1">
      <c r="B26" s="74" t="inlineStr">
        <is>
          <t>3</t>
        </is>
      </c>
      <c r="C26" s="81" t="inlineStr">
        <is>
          <t>OPVOLGEN of reminder</t>
        </is>
      </c>
      <c r="D26" s="78" t="inlineStr">
        <is>
          <t>Geen reactie na ongeveer een week of maand: reminder mailen en nog een keer bellen.</t>
        </is>
      </c>
      <c r="E26" s="79" t="n"/>
      <c r="F26" s="79" t="n"/>
      <c r="G26" s="79" t="n"/>
      <c r="H26" s="80" t="inlineStr">
        <is>
          <t>Reminder gestuurd · Bellen</t>
        </is>
      </c>
      <c r="I26" s="79" t="n"/>
    </row>
    <row r="27" ht="32" customHeight="1">
      <c r="B27" s="74" t="inlineStr">
        <is>
          <t>4</t>
        </is>
      </c>
      <c r="C27" s="81" t="inlineStr">
        <is>
          <t>Positieve lead</t>
        </is>
      </c>
      <c r="D27" s="78" t="inlineStr">
        <is>
          <t>Interesse. Samples opsturen, lead in Bigin zetten (potentiële klant).</t>
        </is>
      </c>
      <c r="E27" s="79" t="n"/>
      <c r="F27" s="79" t="n"/>
      <c r="G27" s="79" t="n"/>
      <c r="H27" s="80" t="inlineStr">
        <is>
          <t>Positieve lead</t>
        </is>
      </c>
      <c r="I27" s="79" t="n"/>
    </row>
    <row r="28" ht="32" customHeight="1">
      <c r="B28" s="74" t="inlineStr">
        <is>
          <t>5</t>
        </is>
      </c>
      <c r="C28" s="82" t="inlineStr">
        <is>
          <t>KLANT</t>
        </is>
      </c>
      <c r="D28" s="78" t="inlineStr">
        <is>
          <t>Eerste bestelling. Relatie onderhouden en herbestelling.</t>
        </is>
      </c>
      <c r="E28" s="79" t="n"/>
      <c r="F28" s="79" t="n"/>
      <c r="G28" s="79" t="n"/>
      <c r="H28" s="80" t="inlineStr">
        <is>
          <t>Klant (actief)</t>
        </is>
      </c>
      <c r="I28" s="79" t="n"/>
    </row>
    <row r="29" ht="32" customHeight="1">
      <c r="B29" s="74" t="inlineStr">
        <is>
          <t>Zijpad</t>
        </is>
      </c>
      <c r="C29" s="83" t="inlineStr">
        <is>
          <t>LATER</t>
        </is>
      </c>
      <c r="D29" s="78" t="inlineStr">
        <is>
          <t>Nu geen interesse. Staat een moment genoemd (bijvoorbeeld 'januari'), dan dat moment bellen.</t>
        </is>
      </c>
      <c r="E29" s="79" t="n"/>
      <c r="F29" s="79" t="n"/>
      <c r="G29" s="79" t="n"/>
      <c r="H29" s="80" t="inlineStr">
        <is>
          <t>Nu geen interesse, later opnieuw benaderen</t>
        </is>
      </c>
      <c r="I29" s="79" t="n"/>
    </row>
    <row r="30" ht="32" customHeight="1">
      <c r="B30" s="74" t="inlineStr">
        <is>
          <t>Zijpad</t>
        </is>
      </c>
      <c r="C30" s="84" t="inlineStr">
        <is>
          <t>NIET BENADEREN</t>
        </is>
      </c>
      <c r="D30" s="78" t="inlineStr">
        <is>
          <t>Nooit meer benaderen. Niet bellen, niet mailen.</t>
        </is>
      </c>
      <c r="E30" s="79" t="n"/>
      <c r="F30" s="79" t="n"/>
      <c r="G30" s="79" t="n"/>
      <c r="H30" s="80" t="inlineStr">
        <is>
          <t>Nooit meer benaderen</t>
        </is>
      </c>
      <c r="I30" s="79" t="n"/>
    </row>
    <row r="32">
      <c r="B32" s="23" t="inlineStr">
        <is>
          <t>KLEURENLEGENDA (kleur = wat je nu moet doen; de kolom Status blijft jullie eigen woorden)</t>
        </is>
      </c>
    </row>
    <row r="33" ht="20" customHeight="1">
      <c r="B33" s="85" t="inlineStr">
        <is>
          <t>OPVOLGEN</t>
        </is>
      </c>
      <c r="C33" s="86" t="inlineStr">
        <is>
          <t>Reminder of feedback vragen</t>
        </is>
      </c>
    </row>
    <row r="34" ht="20" customHeight="1">
      <c r="B34" s="87" t="inlineStr">
        <is>
          <t>BELLEN</t>
        </is>
      </c>
      <c r="C34" s="88" t="inlineStr">
        <is>
          <t>Nu bellen</t>
        </is>
      </c>
    </row>
    <row r="35" ht="20" customHeight="1">
      <c r="B35" s="89" t="inlineStr">
        <is>
          <t>MAILEN</t>
        </is>
      </c>
      <c r="C35" s="90" t="inlineStr">
        <is>
          <t>Nu mailen</t>
        </is>
      </c>
    </row>
    <row r="36" ht="20" customHeight="1">
      <c r="B36" s="91" t="inlineStr">
        <is>
          <t>WACHTEN</t>
        </is>
      </c>
      <c r="C36" s="92" t="inlineStr">
        <is>
          <t>Zij zijn aan zet</t>
        </is>
      </c>
    </row>
    <row r="37" ht="20" customHeight="1">
      <c r="B37" s="93" t="inlineStr">
        <is>
          <t>EERSTE BENADERING</t>
        </is>
      </c>
      <c r="C37" s="94" t="inlineStr">
        <is>
          <t>Bellen, daarna mailen</t>
        </is>
      </c>
    </row>
    <row r="38" ht="20" customHeight="1">
      <c r="B38" s="95" t="inlineStr">
        <is>
          <t>LATER</t>
        </is>
      </c>
      <c r="C38" s="96" t="inlineStr">
        <is>
          <t>Op het genoemde moment</t>
        </is>
      </c>
    </row>
    <row r="39" ht="20" customHeight="1">
      <c r="B39" s="97" t="inlineStr">
        <is>
          <t>KLANT</t>
        </is>
      </c>
      <c r="C39" s="98" t="inlineStr">
        <is>
          <t>Relatie onderhouden</t>
        </is>
      </c>
    </row>
    <row r="40" ht="20" customHeight="1">
      <c r="B40" s="99" t="inlineStr">
        <is>
          <t>NIET BENADEREN</t>
        </is>
      </c>
      <c r="C40" s="100" t="inlineStr">
        <is>
          <t>Nooit meer benaderen</t>
        </is>
      </c>
    </row>
  </sheetData>
  <mergeCells count="38">
    <mergeCell ref="F4:G4"/>
    <mergeCell ref="C39:F39"/>
    <mergeCell ref="H29:I29"/>
    <mergeCell ref="D25:G25"/>
    <mergeCell ref="D24:G24"/>
    <mergeCell ref="D30:G30"/>
    <mergeCell ref="C38:F38"/>
    <mergeCell ref="H4:I4"/>
    <mergeCell ref="D29:G29"/>
    <mergeCell ref="C37:F37"/>
    <mergeCell ref="B9:C10"/>
    <mergeCell ref="D9:E10"/>
    <mergeCell ref="H30:I30"/>
    <mergeCell ref="F9:G10"/>
    <mergeCell ref="H25:I25"/>
    <mergeCell ref="D26:G26"/>
    <mergeCell ref="C34:F34"/>
    <mergeCell ref="B5:C6"/>
    <mergeCell ref="D5:E6"/>
    <mergeCell ref="C33:F33"/>
    <mergeCell ref="H5:I6"/>
    <mergeCell ref="B8:C8"/>
    <mergeCell ref="F8:G8"/>
    <mergeCell ref="C36:F36"/>
    <mergeCell ref="C35:F35"/>
    <mergeCell ref="D4:E4"/>
    <mergeCell ref="H28:I28"/>
    <mergeCell ref="D27:G27"/>
    <mergeCell ref="H27:I27"/>
    <mergeCell ref="H9:I10"/>
    <mergeCell ref="D8:E8"/>
    <mergeCell ref="C40:F40"/>
    <mergeCell ref="H24:I24"/>
    <mergeCell ref="F5:G6"/>
    <mergeCell ref="H8:I8"/>
    <mergeCell ref="B4:C4"/>
    <mergeCell ref="D28:G28"/>
    <mergeCell ref="H26:I26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38" customWidth="1" min="4" max="4"/>
    <col width="46" customWidth="1" min="5" max="5"/>
    <col width="70" customWidth="1" min="6" max="6"/>
  </cols>
  <sheetData>
    <row r="1">
      <c r="A1" s="101" t="inlineStr">
        <is>
          <t>UITGESLOTEN: staan in jullie sheets, maar niet (meer) op sport2000.nl</t>
        </is>
      </c>
    </row>
    <row r="3">
      <c r="A3" s="102" t="inlineStr">
        <is>
          <t>Naam (uit jullie sheet)</t>
        </is>
      </c>
      <c r="B3" s="102" t="inlineStr">
        <is>
          <t>Plaats</t>
        </is>
      </c>
      <c r="C3" s="102" t="inlineStr">
        <is>
          <t>Bron</t>
        </is>
      </c>
      <c r="D3" s="102" t="inlineStr">
        <is>
          <t>Status in jullie sheet</t>
        </is>
      </c>
      <c r="E3" s="102" t="inlineStr">
        <is>
          <t>Notitie in jullie sheet</t>
        </is>
      </c>
      <c r="F3" s="102" t="inlineStr">
        <is>
          <t>Reden uitsluiting</t>
        </is>
      </c>
    </row>
    <row r="4">
      <c r="A4" s="103" t="inlineStr">
        <is>
          <t>SPORT 2000 Alkmaar</t>
        </is>
      </c>
      <c r="B4" s="103" t="inlineStr">
        <is>
          <t>Alkmaar</t>
        </is>
      </c>
      <c r="C4" s="103" t="inlineStr">
        <is>
          <t>Retail-sheet</t>
        </is>
      </c>
      <c r="D4" s="103" t="inlineStr">
        <is>
          <t>Nu geen interesse, later opnieuw benaderen</t>
        </is>
      </c>
      <c r="E4" s="103" t="n"/>
      <c r="F4" s="103" t="inlineStr">
        <is>
          <t>Staat niet op de officiële lijst van sport2000.nl (gecontroleerd 27-10-2026)</t>
        </is>
      </c>
    </row>
    <row r="5">
      <c r="A5" s="103" t="inlineStr">
        <is>
          <t>SPORT 2000 Axel</t>
        </is>
      </c>
      <c r="B5" s="103" t="inlineStr">
        <is>
          <t>Axel</t>
        </is>
      </c>
      <c r="C5" s="103" t="inlineStr">
        <is>
          <t>Retail-sheet</t>
        </is>
      </c>
      <c r="D5" s="103" t="inlineStr">
        <is>
          <t>Bestaat niet</t>
        </is>
      </c>
      <c r="E5" s="103" t="n"/>
      <c r="F5" s="103" t="inlineStr">
        <is>
          <t>Bestaat niet meer (jullie eigen markering); ook niet op sport2000.nl</t>
        </is>
      </c>
    </row>
    <row r="6">
      <c r="A6" s="103" t="inlineStr">
        <is>
          <t>SPORT 2000 Bodegraven</t>
        </is>
      </c>
      <c r="B6" s="103" t="inlineStr">
        <is>
          <t>Bodegraven</t>
        </is>
      </c>
      <c r="C6" s="103" t="inlineStr">
        <is>
          <t>Retail-sheet</t>
        </is>
      </c>
      <c r="D6" s="103" t="inlineStr">
        <is>
          <t>Bestaat niet</t>
        </is>
      </c>
      <c r="E6" s="103" t="inlineStr">
        <is>
          <t>Bestaat niet meer</t>
        </is>
      </c>
      <c r="F6" s="103" t="inlineStr">
        <is>
          <t>Bestaat niet meer (jullie eigen markering); ook niet op sport2000.nl</t>
        </is>
      </c>
    </row>
    <row r="7">
      <c r="A7" s="103" t="inlineStr">
        <is>
          <t>SPORT 2000 Broek op Langedijk</t>
        </is>
      </c>
      <c r="B7" s="103" t="inlineStr">
        <is>
          <t>Broek op Langedijk</t>
        </is>
      </c>
      <c r="C7" s="103" t="inlineStr">
        <is>
          <t>Retail-sheet + Timo's lijst</t>
        </is>
      </c>
      <c r="D7" s="103" t="inlineStr">
        <is>
          <t>Nooit meer benaderen</t>
        </is>
      </c>
      <c r="E7" s="103" t="n"/>
      <c r="F7" s="103" t="inlineStr">
        <is>
          <t>Niet meer op sport2000.nl: winkelpagina geeft 404 (27-10-2026).</t>
        </is>
      </c>
    </row>
    <row r="8">
      <c r="A8" s="103" t="inlineStr">
        <is>
          <t>SPORT 2000 Hellevoetsluis</t>
        </is>
      </c>
      <c r="B8" s="103" t="inlineStr">
        <is>
          <t>Hellevoetsluis</t>
        </is>
      </c>
      <c r="C8" s="103" t="inlineStr">
        <is>
          <t>Retail-sheet</t>
        </is>
      </c>
      <c r="D8" s="103" t="inlineStr">
        <is>
          <t>Nooit meer benaderen</t>
        </is>
      </c>
      <c r="E8" s="103" t="n"/>
      <c r="F8" s="103" t="inlineStr">
        <is>
          <t>Staat niet op de officiële lijst van sport2000.nl (gecontroleerd 27-10-2026)</t>
        </is>
      </c>
    </row>
    <row r="9">
      <c r="A9" s="103" t="inlineStr">
        <is>
          <t>SPORT 2000 Oud-Beijerland</t>
        </is>
      </c>
      <c r="B9" s="103" t="inlineStr">
        <is>
          <t>Oud-Beijerland</t>
        </is>
      </c>
      <c r="C9" s="103" t="inlineStr">
        <is>
          <t>Retail-sheet + Timo's lijst</t>
        </is>
      </c>
      <c r="D9" s="103" t="inlineStr">
        <is>
          <t>Nooit meer benaderen</t>
        </is>
      </c>
      <c r="E9" s="103" t="n"/>
      <c r="F9" s="103" t="inlineStr">
        <is>
          <t>Niet meer op sport2000.nl: winkelpagina geeft 404 (27-10-2026).</t>
        </is>
      </c>
    </row>
    <row r="10">
      <c r="A10" s="103" t="inlineStr">
        <is>
          <t>SPORT 2000 Renesse</t>
        </is>
      </c>
      <c r="B10" s="103" t="inlineStr">
        <is>
          <t>Renesse</t>
        </is>
      </c>
      <c r="C10" s="103" t="inlineStr">
        <is>
          <t>Retail-sheet</t>
        </is>
      </c>
      <c r="D10" s="103" t="inlineStr">
        <is>
          <t>Bestaat niet</t>
        </is>
      </c>
      <c r="E10" s="103" t="inlineStr">
        <is>
          <t>Bestaat niet meer</t>
        </is>
      </c>
      <c r="F10" s="103" t="inlineStr">
        <is>
          <t>Bestaat niet meer (jullie eigen markering); ook niet op sport2000.nl</t>
        </is>
      </c>
    </row>
    <row r="11">
      <c r="A11" s="103" t="inlineStr">
        <is>
          <t>SPORT 2000 Roelofarendsveen</t>
        </is>
      </c>
      <c r="B11" s="103" t="inlineStr">
        <is>
          <t>Roelofarendsveen</t>
        </is>
      </c>
      <c r="C11" s="103" t="inlineStr">
        <is>
          <t>Retail-sheet</t>
        </is>
      </c>
      <c r="D11" s="103" t="inlineStr">
        <is>
          <t>Nooit meer benaderen</t>
        </is>
      </c>
      <c r="E11" s="103" t="n"/>
      <c r="F11" s="103" t="inlineStr">
        <is>
          <t>Staat niet op de officiële lijst van sport2000.nl (gecontroleerd 27-10-2026)</t>
        </is>
      </c>
    </row>
    <row r="12">
      <c r="A12" s="103" t="inlineStr">
        <is>
          <t>SPORT 2000 Rosmalen</t>
        </is>
      </c>
      <c r="B12" s="103" t="inlineStr">
        <is>
          <t>Rosmalen</t>
        </is>
      </c>
      <c r="C12" s="103" t="inlineStr">
        <is>
          <t>Retail-sheet</t>
        </is>
      </c>
      <c r="D12" s="103" t="inlineStr">
        <is>
          <t>Nooit meer benaderen</t>
        </is>
      </c>
      <c r="E12" s="103" t="n"/>
      <c r="F12" s="103" t="inlineStr">
        <is>
          <t>Staat niet op de officiële lijst van sport2000.nl (gecontroleerd 27-10-2026)</t>
        </is>
      </c>
    </row>
    <row r="13">
      <c r="A13" s="103" t="inlineStr">
        <is>
          <t>SPORT 2000 Veghel</t>
        </is>
      </c>
      <c r="B13" s="103" t="inlineStr">
        <is>
          <t>Veghel</t>
        </is>
      </c>
      <c r="C13" s="103" t="inlineStr">
        <is>
          <t>Retail-sheet</t>
        </is>
      </c>
      <c r="D13" s="103" t="inlineStr">
        <is>
          <t>Nooit meer benaderen</t>
        </is>
      </c>
      <c r="E13" s="103" t="n"/>
      <c r="F13" s="103" t="inlineStr">
        <is>
          <t>Staat niet op de officiële lijst van sport2000.nl (gecontroleerd 27-10-2026)</t>
        </is>
      </c>
    </row>
    <row r="14">
      <c r="A14" s="103" t="inlineStr">
        <is>
          <t>SPORT 2000 's-Gravenzande</t>
        </is>
      </c>
      <c r="B14" s="103" t="inlineStr">
        <is>
          <t>'s-Gravenzande</t>
        </is>
      </c>
      <c r="C14" s="103" t="inlineStr">
        <is>
          <t>Retail-sheet</t>
        </is>
      </c>
      <c r="D14" s="103" t="inlineStr">
        <is>
          <t>(geen)</t>
        </is>
      </c>
      <c r="E14" s="103" t="n"/>
      <c r="F14" s="103" t="inlineStr">
        <is>
          <t>Staat niet op de officiële lijst van sport2000.nl (gecontroleerd 27-10-2026)</t>
        </is>
      </c>
    </row>
    <row r="15">
      <c r="A15" s="103" t="inlineStr">
        <is>
          <t>SPORT 2000 Amersfoort</t>
        </is>
      </c>
      <c r="B15" s="103" t="inlineStr">
        <is>
          <t>Amersfoort</t>
        </is>
      </c>
      <c r="C15" s="103" t="inlineStr">
        <is>
          <t>Retail-sheet</t>
        </is>
      </c>
      <c r="D15" s="103" t="inlineStr">
        <is>
          <t>(geen)</t>
        </is>
      </c>
      <c r="E15" s="103" t="n"/>
      <c r="F15" s="103" t="inlineStr">
        <is>
          <t>Staat niet op de officiële lijst van sport2000.nl (gecontroleerd 27-10-2026)</t>
        </is>
      </c>
    </row>
    <row r="16">
      <c r="A16" s="103" t="inlineStr">
        <is>
          <t>SPORT 2000 Beverwijk</t>
        </is>
      </c>
      <c r="B16" s="103" t="inlineStr">
        <is>
          <t>Beverwijk</t>
        </is>
      </c>
      <c r="C16" s="103" t="inlineStr">
        <is>
          <t>Retail-sheet</t>
        </is>
      </c>
      <c r="D16" s="103" t="inlineStr">
        <is>
          <t>(geen)</t>
        </is>
      </c>
      <c r="E16" s="103" t="n"/>
      <c r="F16" s="103" t="inlineStr">
        <is>
          <t>Staat niet op de officiële lijst van sport2000.nl (gecontroleerd 27-10-2026)</t>
        </is>
      </c>
    </row>
    <row r="17">
      <c r="A17" s="103" t="inlineStr">
        <is>
          <t>SPORT 2000 Delft</t>
        </is>
      </c>
      <c r="B17" s="103" t="inlineStr">
        <is>
          <t>Delft</t>
        </is>
      </c>
      <c r="C17" s="103" t="inlineStr">
        <is>
          <t>Retail-sheet</t>
        </is>
      </c>
      <c r="D17" s="103" t="inlineStr">
        <is>
          <t>(geen)</t>
        </is>
      </c>
      <c r="E17" s="103" t="n"/>
      <c r="F17" s="103" t="inlineStr">
        <is>
          <t>Staat niet op de officiële lijst van sport2000.nl (gecontroleerd 27-10-2026)</t>
        </is>
      </c>
    </row>
    <row r="18">
      <c r="A18" s="103" t="inlineStr">
        <is>
          <t>SPORT 2000 Dokkum</t>
        </is>
      </c>
      <c r="B18" s="103" t="inlineStr">
        <is>
          <t>Dokkum</t>
        </is>
      </c>
      <c r="C18" s="103" t="inlineStr">
        <is>
          <t>Retail-sheet</t>
        </is>
      </c>
      <c r="D18" s="103" t="inlineStr">
        <is>
          <t>(geen)</t>
        </is>
      </c>
      <c r="E18" s="103" t="n"/>
      <c r="F18" s="103" t="inlineStr">
        <is>
          <t>Staat niet op de officiële lijst van sport2000.nl (gecontroleerd 27-10-2026)</t>
        </is>
      </c>
    </row>
    <row r="19">
      <c r="A19" s="103" t="inlineStr">
        <is>
          <t>SPORT 2000 Dordrecht</t>
        </is>
      </c>
      <c r="B19" s="103" t="inlineStr">
        <is>
          <t>Dordrecht</t>
        </is>
      </c>
      <c r="C19" s="103" t="inlineStr">
        <is>
          <t>Retail-sheet</t>
        </is>
      </c>
      <c r="D19" s="103" t="inlineStr">
        <is>
          <t>(geen)</t>
        </is>
      </c>
      <c r="E19" s="103" t="n"/>
      <c r="F19" s="103" t="inlineStr">
        <is>
          <t>Staat niet op de officiële lijst van sport2000.nl (gecontroleerd 27-10-2026)</t>
        </is>
      </c>
    </row>
    <row r="20">
      <c r="A20" s="103" t="inlineStr">
        <is>
          <t>SPORT 2000 Driebergen-Rijsenburg</t>
        </is>
      </c>
      <c r="B20" s="103" t="inlineStr">
        <is>
          <t>Driebergen-Rijsenburg</t>
        </is>
      </c>
      <c r="C20" s="103" t="inlineStr">
        <is>
          <t>Retail-sheet</t>
        </is>
      </c>
      <c r="D20" s="103" t="inlineStr">
        <is>
          <t>(geen)</t>
        </is>
      </c>
      <c r="E20" s="103" t="n"/>
      <c r="F20" s="103" t="inlineStr">
        <is>
          <t>Staat niet op de officiële lijst van sport2000.nl (gecontroleerd 27-10-2026)</t>
        </is>
      </c>
    </row>
    <row r="21">
      <c r="A21" s="103" t="inlineStr">
        <is>
          <t>SPORT 2000 Gouda</t>
        </is>
      </c>
      <c r="B21" s="103" t="inlineStr">
        <is>
          <t>Gouda</t>
        </is>
      </c>
      <c r="C21" s="103" t="inlineStr">
        <is>
          <t>Retail-sheet</t>
        </is>
      </c>
      <c r="D21" s="103" t="inlineStr">
        <is>
          <t>(geen)</t>
        </is>
      </c>
      <c r="E21" s="103" t="n"/>
      <c r="F21" s="103" t="inlineStr">
        <is>
          <t>Staat niet op de officiële lijst van sport2000.nl (gecontroleerd 27-10-2026)</t>
        </is>
      </c>
    </row>
    <row r="22">
      <c r="A22" s="103" t="inlineStr">
        <is>
          <t>SPORT 2000 Haaksbergen</t>
        </is>
      </c>
      <c r="B22" s="103" t="inlineStr">
        <is>
          <t>Haaksbergen</t>
        </is>
      </c>
      <c r="C22" s="103" t="inlineStr">
        <is>
          <t>Retail-sheet</t>
        </is>
      </c>
      <c r="D22" s="103" t="inlineStr">
        <is>
          <t>(geen)</t>
        </is>
      </c>
      <c r="E22" s="103" t="n"/>
      <c r="F22" s="103" t="inlineStr">
        <is>
          <t>Staat niet op de officiële lijst van sport2000.nl (gecontroleerd 27-10-2026)</t>
        </is>
      </c>
    </row>
    <row r="23">
      <c r="A23" s="103" t="inlineStr">
        <is>
          <t>Sport 2000 Faber Sport Heerenveen</t>
        </is>
      </c>
      <c r="B23" s="103" t="inlineStr">
        <is>
          <t>Heerenveen</t>
        </is>
      </c>
      <c r="C23" s="103" t="inlineStr">
        <is>
          <t>Timo's lijst</t>
        </is>
      </c>
      <c r="D23" s="103" t="inlineStr">
        <is>
          <t>(geen)</t>
        </is>
      </c>
      <c r="E23" s="103" t="n"/>
      <c r="F23" s="103" t="inlineStr">
        <is>
          <t>Niet meer op sport2000.nl (pagina 404). Mogelijk omgezet naar 'Absolute Run Faber Sport' (opening 10-09-2026 volgens zoekresultaten); handmatig checken.</t>
        </is>
      </c>
    </row>
    <row r="24">
      <c r="A24" s="103" t="inlineStr">
        <is>
          <t>SPORT 2000 Helmond</t>
        </is>
      </c>
      <c r="B24" s="103" t="inlineStr">
        <is>
          <t>Helmond</t>
        </is>
      </c>
      <c r="C24" s="103" t="inlineStr">
        <is>
          <t>Retail-sheet</t>
        </is>
      </c>
      <c r="D24" s="103" t="inlineStr">
        <is>
          <t>(geen)</t>
        </is>
      </c>
      <c r="E24" s="103" t="n"/>
      <c r="F24" s="103" t="inlineStr">
        <is>
          <t>Staat niet op de officiële lijst van sport2000.nl (gecontroleerd 27-10-2026)</t>
        </is>
      </c>
    </row>
    <row r="25">
      <c r="A25" s="103" t="inlineStr">
        <is>
          <t>SPORT 2000 Spijkenisse</t>
        </is>
      </c>
      <c r="B25" s="103" t="inlineStr">
        <is>
          <t>Hoogvliet</t>
        </is>
      </c>
      <c r="C25" s="103" t="inlineStr">
        <is>
          <t>Retail-sheet</t>
        </is>
      </c>
      <c r="D25" s="103" t="inlineStr">
        <is>
          <t>(geen)</t>
        </is>
      </c>
      <c r="E25" s="103" t="n"/>
      <c r="F25" s="103" t="inlineStr">
        <is>
          <t>Staat niet op de officiële lijst van sport2000.nl (gecontroleerd 27-10-2026)</t>
        </is>
      </c>
    </row>
    <row r="26">
      <c r="A26" s="103" t="inlineStr">
        <is>
          <t>SPORT 2000 Horst</t>
        </is>
      </c>
      <c r="B26" s="103" t="inlineStr">
        <is>
          <t>Horst</t>
        </is>
      </c>
      <c r="C26" s="103" t="inlineStr">
        <is>
          <t>Retail-sheet</t>
        </is>
      </c>
      <c r="D26" s="103" t="inlineStr">
        <is>
          <t>(geen)</t>
        </is>
      </c>
      <c r="E26" s="103" t="n"/>
      <c r="F26" s="103" t="inlineStr">
        <is>
          <t>Staat niet op de officiële lijst van sport2000.nl (gecontroleerd 27-10-2026)</t>
        </is>
      </c>
    </row>
    <row r="27">
      <c r="A27" s="103" t="inlineStr">
        <is>
          <t>SPORT 2000 Huissen</t>
        </is>
      </c>
      <c r="B27" s="103" t="inlineStr">
        <is>
          <t>Huissen</t>
        </is>
      </c>
      <c r="C27" s="103" t="inlineStr">
        <is>
          <t>Retail-sheet</t>
        </is>
      </c>
      <c r="D27" s="103" t="inlineStr">
        <is>
          <t>(geen)</t>
        </is>
      </c>
      <c r="E27" s="103" t="n"/>
      <c r="F27" s="103" t="inlineStr">
        <is>
          <t>Staat niet op de officiële lijst van sport2000.nl (gecontroleerd 27-10-2026)</t>
        </is>
      </c>
    </row>
    <row r="28">
      <c r="A28" s="103" t="inlineStr">
        <is>
          <t>SPORT 2000 IJmuiden</t>
        </is>
      </c>
      <c r="B28" s="103" t="inlineStr">
        <is>
          <t>IJmuiden</t>
        </is>
      </c>
      <c r="C28" s="103" t="inlineStr">
        <is>
          <t>Retail-sheet</t>
        </is>
      </c>
      <c r="D28" s="103" t="inlineStr">
        <is>
          <t>(geen)</t>
        </is>
      </c>
      <c r="E28" s="103" t="n"/>
      <c r="F28" s="103" t="inlineStr">
        <is>
          <t>Staat niet op de officiële lijst van sport2000.nl (gecontroleerd 27-10-2026)</t>
        </is>
      </c>
    </row>
    <row r="29">
      <c r="A29" s="103" t="inlineStr">
        <is>
          <t>SPORT 2000 Kampen</t>
        </is>
      </c>
      <c r="B29" s="103" t="inlineStr">
        <is>
          <t>Kampen</t>
        </is>
      </c>
      <c r="C29" s="103" t="inlineStr">
        <is>
          <t>Retail-sheet</t>
        </is>
      </c>
      <c r="D29" s="103" t="inlineStr">
        <is>
          <t>(geen)</t>
        </is>
      </c>
      <c r="E29" s="103" t="n"/>
      <c r="F29" s="103" t="inlineStr">
        <is>
          <t>Staat niet op de officiële lijst van sport2000.nl (gecontroleerd 27-10-2026)</t>
        </is>
      </c>
    </row>
    <row r="30">
      <c r="A30" s="103" t="inlineStr">
        <is>
          <t>SPORT 2000 Nieuw-Vennep</t>
        </is>
      </c>
      <c r="B30" s="103" t="inlineStr">
        <is>
          <t>Nieuw-Vennep</t>
        </is>
      </c>
      <c r="C30" s="103" t="inlineStr">
        <is>
          <t>Retail-sheet</t>
        </is>
      </c>
      <c r="D30" s="103" t="inlineStr">
        <is>
          <t>(geen)</t>
        </is>
      </c>
      <c r="E30" s="103" t="n"/>
      <c r="F30" s="103" t="inlineStr">
        <is>
          <t>Staat niet op de officiële lijst van sport2000.nl (gecontroleerd 27-10-2026)</t>
        </is>
      </c>
    </row>
    <row r="31">
      <c r="A31" s="103" t="inlineStr">
        <is>
          <t>SPORT 2000 Nijkerk</t>
        </is>
      </c>
      <c r="B31" s="103" t="inlineStr">
        <is>
          <t>Nijkerk</t>
        </is>
      </c>
      <c r="C31" s="103" t="inlineStr">
        <is>
          <t>Retail-sheet</t>
        </is>
      </c>
      <c r="D31" s="103" t="inlineStr">
        <is>
          <t>(geen)</t>
        </is>
      </c>
      <c r="E31" s="103" t="n"/>
      <c r="F31" s="103" t="inlineStr">
        <is>
          <t>Staat niet op de officiële lijst van sport2000.nl (gecontroleerd 27-10-2026)</t>
        </is>
      </c>
    </row>
    <row r="32">
      <c r="A32" s="103" t="inlineStr">
        <is>
          <t>SPORT 2000 Oss</t>
        </is>
      </c>
      <c r="B32" s="103" t="inlineStr">
        <is>
          <t>Oss</t>
        </is>
      </c>
      <c r="C32" s="103" t="inlineStr">
        <is>
          <t>Retail-sheet</t>
        </is>
      </c>
      <c r="D32" s="103" t="inlineStr">
        <is>
          <t>(geen)</t>
        </is>
      </c>
      <c r="E32" s="103" t="n"/>
      <c r="F32" s="103" t="inlineStr">
        <is>
          <t>Staat niet op de officiële lijst van sport2000.nl (gecontroleerd 27-10-2026)</t>
        </is>
      </c>
    </row>
    <row r="33">
      <c r="A33" s="103" t="inlineStr">
        <is>
          <t>SPORT 2000 Pijnacker</t>
        </is>
      </c>
      <c r="B33" s="103" t="inlineStr">
        <is>
          <t>Pijnacker</t>
        </is>
      </c>
      <c r="C33" s="103" t="inlineStr">
        <is>
          <t>Retail-sheet</t>
        </is>
      </c>
      <c r="D33" s="103" t="inlineStr">
        <is>
          <t>(geen)</t>
        </is>
      </c>
      <c r="E33" s="103" t="n"/>
      <c r="F33" s="103" t="inlineStr">
        <is>
          <t>Staat niet op de officiële lijst van sport2000.nl (gecontroleerd 27-10-2026)</t>
        </is>
      </c>
    </row>
    <row r="34">
      <c r="A34" s="103" t="inlineStr">
        <is>
          <t>SPORT 2000 Ridderkerk</t>
        </is>
      </c>
      <c r="B34" s="103" t="inlineStr">
        <is>
          <t>Ridderkerk</t>
        </is>
      </c>
      <c r="C34" s="103" t="inlineStr">
        <is>
          <t>Retail-sheet</t>
        </is>
      </c>
      <c r="D34" s="103" t="inlineStr">
        <is>
          <t>(geen)</t>
        </is>
      </c>
      <c r="E34" s="103" t="n"/>
      <c r="F34" s="103" t="inlineStr">
        <is>
          <t>Staat niet op de officiële lijst van sport2000.nl (gecontroleerd 27-10-2026)</t>
        </is>
      </c>
    </row>
    <row r="35">
      <c r="A35" s="103" t="inlineStr">
        <is>
          <t>SPORT 2000 Sassenheim</t>
        </is>
      </c>
      <c r="B35" s="103" t="inlineStr">
        <is>
          <t>Sassenheim</t>
        </is>
      </c>
      <c r="C35" s="103" t="inlineStr">
        <is>
          <t>Retail-sheet</t>
        </is>
      </c>
      <c r="D35" s="103" t="inlineStr">
        <is>
          <t>(geen)</t>
        </is>
      </c>
      <c r="E35" s="103" t="n"/>
      <c r="F35" s="103" t="inlineStr">
        <is>
          <t>Staat niet op de officiële lijst van sport2000.nl (gecontroleerd 27-10-2026)</t>
        </is>
      </c>
    </row>
    <row r="36">
      <c r="A36" s="103" t="inlineStr">
        <is>
          <t>SPORT 2000 Twello</t>
        </is>
      </c>
      <c r="B36" s="103" t="inlineStr">
        <is>
          <t>Twello</t>
        </is>
      </c>
      <c r="C36" s="103" t="inlineStr">
        <is>
          <t>Retail-sheet + Timo's lijst</t>
        </is>
      </c>
      <c r="D36" s="103" t="inlineStr">
        <is>
          <t>(geen)</t>
        </is>
      </c>
      <c r="E36" s="103" t="n"/>
      <c r="F36" s="103" t="inlineStr">
        <is>
          <t>Niet meer op sport2000.nl (pagina 404). Lokaal nieuws (voorsternieuws.nl): winkel stopt na 70 jaar, sluiting rond maart 2027 verwacht.</t>
        </is>
      </c>
    </row>
    <row r="37">
      <c r="A37" s="103" t="inlineStr">
        <is>
          <t>SPORT 2000 Venray</t>
        </is>
      </c>
      <c r="B37" s="103" t="inlineStr">
        <is>
          <t>Venray</t>
        </is>
      </c>
      <c r="C37" s="103" t="inlineStr">
        <is>
          <t>Retail-sheet</t>
        </is>
      </c>
      <c r="D37" s="103" t="inlineStr">
        <is>
          <t>(geen)</t>
        </is>
      </c>
      <c r="E37" s="103" t="n"/>
      <c r="F37" s="103" t="inlineStr">
        <is>
          <t>Staat niet op de officiële lijst van sport2000.nl (gecontroleerd 27-10-2026)</t>
        </is>
      </c>
    </row>
    <row r="38">
      <c r="A38" s="103" t="inlineStr">
        <is>
          <t>SPORT 2000 Vlaardingen</t>
        </is>
      </c>
      <c r="B38" s="103" t="inlineStr">
        <is>
          <t>Vlaardingen</t>
        </is>
      </c>
      <c r="C38" s="103" t="inlineStr">
        <is>
          <t>Retail-sheet</t>
        </is>
      </c>
      <c r="D38" s="103" t="inlineStr">
        <is>
          <t>(geen)</t>
        </is>
      </c>
      <c r="E38" s="103" t="n"/>
      <c r="F38" s="103" t="inlineStr">
        <is>
          <t>Staat niet op de officiële lijst van sport2000.nl (gecontroleerd 27-10-2026)</t>
        </is>
      </c>
    </row>
    <row r="39">
      <c r="A39" s="103" t="inlineStr">
        <is>
          <t>SPORT 2000 Wassenaar</t>
        </is>
      </c>
      <c r="B39" s="103" t="inlineStr">
        <is>
          <t>Wassenaar</t>
        </is>
      </c>
      <c r="C39" s="103" t="inlineStr">
        <is>
          <t>Retail-sheet</t>
        </is>
      </c>
      <c r="D39" s="103" t="inlineStr">
        <is>
          <t>(geen)</t>
        </is>
      </c>
      <c r="E39" s="103" t="n"/>
      <c r="F39" s="103" t="inlineStr">
        <is>
          <t>Staat niet op de officiële lijst van sport2000.nl (gecontroleerd 27-10-2026)</t>
        </is>
      </c>
    </row>
    <row r="40">
      <c r="A40" s="103" t="inlineStr">
        <is>
          <t>SPORT 2000 Zeewolde</t>
        </is>
      </c>
      <c r="B40" s="103" t="inlineStr">
        <is>
          <t>Zeewolde</t>
        </is>
      </c>
      <c r="C40" s="103" t="inlineStr">
        <is>
          <t>Retail-sheet</t>
        </is>
      </c>
      <c r="D40" s="103" t="inlineStr">
        <is>
          <t>(geen)</t>
        </is>
      </c>
      <c r="E40" s="103" t="n"/>
      <c r="F40" s="103" t="inlineStr">
        <is>
          <t>Staat niet op de officiële lijst van sport2000.nl (gecontroleerd 27-10-2026)</t>
        </is>
      </c>
    </row>
    <row r="41">
      <c r="A41" s="103" t="inlineStr">
        <is>
          <t>SPORT 2000 Zoetermeer</t>
        </is>
      </c>
      <c r="B41" s="103" t="inlineStr">
        <is>
          <t>Zoetermeer</t>
        </is>
      </c>
      <c r="C41" s="103" t="inlineStr">
        <is>
          <t>Retail-sheet</t>
        </is>
      </c>
      <c r="D41" s="103" t="inlineStr">
        <is>
          <t>(geen)</t>
        </is>
      </c>
      <c r="E41" s="103" t="n"/>
      <c r="F41" s="103" t="inlineStr">
        <is>
          <t>Staat niet op de officiële lijst van sport2000.nl (gecontroleerd 27-10-2026)</t>
        </is>
      </c>
    </row>
  </sheetData>
  <autoFilter ref="A3:F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04" t="inlineStr">
        <is>
          <t>Bronnen en aannames</t>
        </is>
      </c>
    </row>
    <row r="2">
      <c r="A2" s="105" t="inlineStr">
        <is>
          <t>Bronnen</t>
        </is>
      </c>
    </row>
    <row r="3">
      <c r="A3" s="106" t="inlineStr">
        <is>
          <t>1. Officiële winkelzoeker en sitemap van sport2000.nl (27-10-2026): 49 Nederlandse winkels. Naam, adres, telefoon en e-mail per winkelpagina.</t>
        </is>
      </c>
    </row>
    <row r="4">
      <c r="A4" s="106" t="inlineStr">
        <is>
          <t>2. 'Cold acquisition B2B - HÏ Grip' (Google Sheet), tabbladen RETAIL ALGEMEEN en TIMOS LIJST: status (rijkleur), notities, contactpersonen, specialisaties.</t>
        </is>
      </c>
    </row>
    <row r="5">
      <c r="A5" s="106" t="inlineStr">
        <is>
          <t>3. Vault: Actieve Samenwerkingen (B2B Klanten) bevestigt Naaldwijk en Nootdorp als klant.</t>
        </is>
      </c>
    </row>
    <row r="6">
      <c r="A6" s="106" t="inlineStr">
        <is>
          <t>4. Mailbox info@higrip.nl (alleen gelezen, niets gewijzigd), 27-10-2026: Spijkenisse, Voorburg, Leiderdorp, Olympia Veldhoven, Akwi, Almere en Schagen zijn hiermee aangevuld.</t>
        </is>
      </c>
    </row>
    <row r="7">
      <c r="A7" s="106" t="inlineStr"/>
    </row>
    <row r="8">
      <c r="A8" s="105" t="inlineStr">
        <is>
          <t>Beperkingen</t>
        </is>
      </c>
    </row>
    <row r="9">
      <c r="A9" s="106" t="inlineStr">
        <is>
          <t>- Alleen mail die in info@ staat of waar info@ in cc zat is gevonden. Mail van Tigo of anderen zonder cc naar info@ ontbreekt.</t>
        </is>
      </c>
    </row>
    <row r="10">
      <c r="A10" s="106" t="inlineStr">
        <is>
          <t>- Telefoongesprekken staan alleen als een mail ze noemt. Een leeg veld bij Laatste contact betekent: datum onbekend.</t>
        </is>
      </c>
    </row>
    <row r="11">
      <c r="A11" s="106" t="inlineStr">
        <is>
          <t>- 'Eerste benadering' betekent: geen contact gevonden in de sheet en in info@. Het bewijst niet dat er nooit contact is geweest.</t>
        </is>
      </c>
    </row>
    <row r="12">
      <c r="A12" s="106" t="inlineStr"/>
    </row>
    <row r="13">
      <c r="A13" s="105" t="inlineStr">
        <is>
          <t>Aannames</t>
        </is>
      </c>
    </row>
    <row r="14">
      <c r="A14" s="106" t="inlineStr">
        <is>
          <t>- 'mailen' in Timo's lijst en de groene kleur 'Mailen' lees ik als: nog te mailen.</t>
        </is>
      </c>
    </row>
    <row r="15">
      <c r="A15" s="106" t="inlineStr">
        <is>
          <t>- Blauw in kolom F van Timo's lijst (7 winkels) kon ik niet duiden; het staat als opmerking in de detailkolommen.</t>
        </is>
      </c>
    </row>
    <row r="16">
      <c r="A16" s="106" t="inlineStr">
        <is>
          <t>- 'Absolute Teamsport' (5 winkels) staat op de officiële Sport 2000-lijst en zit er daarom bij.</t>
        </is>
      </c>
    </row>
    <row r="17">
      <c r="A17" s="106" t="inlineStr">
        <is>
          <t>- Producten: specialisatie uit Timo's lijst waar ingevuld, anders een indicatieve omschrijving. Sport 2000 publiceert het assortiment niet per winkel.</t>
        </is>
      </c>
    </row>
    <row r="18">
      <c r="A18" s="106" t="inlineStr">
        <is>
          <t>- Sport 2000-winkels zijn zelfstandige ondernemers: bel de eigenaar of inkoper, niet het hoofdkantoor.</t>
        </is>
      </c>
    </row>
    <row r="19">
      <c r="A19" s="106" t="inlineStr"/>
    </row>
    <row r="20">
      <c r="A20" s="105" t="inlineStr">
        <is>
          <t>Bijhouden</t>
        </is>
      </c>
    </row>
    <row r="21">
      <c r="A21" s="106" t="inlineStr">
        <is>
          <t>- Wijzig Volgende actie en Status via het uitklapmenu in de cel. De kleur van de hele rij past zich automatisch aan.</t>
        </is>
      </c>
    </row>
    <row r="22">
      <c r="A22" s="106" t="inlineStr">
        <is>
          <t>- Filter op Regio (pijltje in de kolomkop) om per regio te bellen.</t>
        </is>
      </c>
    </row>
    <row r="23">
      <c r="A23" s="106" t="inlineStr">
        <is>
          <t>- Vul Laatste contact in na elk gesprek of mail: Dagen geleden wordt oranje na 30 dagen en rood na 60 dagen.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2026-10-27T12:40:28Z</dcterms:created>
  <dcterms:modified xmlns:dcterms="http://purl.org/dc/terms/" xmlns:xsi="http://www.w3.org/2001/XMLSchema-instance" xsi:type="dcterms:W3CDTF">2026-10-27T12:40:29Z</dcterms:modified>
</cp:coreProperties>
</file>